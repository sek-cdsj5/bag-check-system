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sekleong/Desktop/bag check/"/>
    </mc:Choice>
  </mc:AlternateContent>
  <xr:revisionPtr revIDLastSave="0" documentId="13_ncr:1_{4B2D23C4-34FB-3E42-B7DA-10EFD7E8A9B0}" xr6:coauthVersionLast="47" xr6:coauthVersionMax="47" xr10:uidLastSave="{00000000-0000-0000-0000-000000000000}"/>
  <bookViews>
    <workbookView xWindow="0" yWindow="660" windowWidth="30240" windowHeight="18980" activeTab="2" xr2:uid="{00000000-000D-0000-FFFF-FFFF00000000}"/>
  </bookViews>
  <sheets>
    <sheet name="📱 各班抽查登記表" sheetId="1" r:id="rId1"/>
    <sheet name="📊 全校各班抽查總表" sheetId="2" r:id="rId2"/>
    <sheet name="💾 學生體重資料庫" sheetId="3" r:id="rId3"/>
    <sheet name="學生書包重量抽查結果紀錄表" sheetId="5" r:id="rId4"/>
    <sheet name="學生書包重量抽查結果分析表" sheetId="6" r:id="rId5"/>
    <sheet name="ℹ️ 使用指南與標準說明" sheetId="4" r:id="rId6"/>
  </sheets>
  <definedNames>
    <definedName name="_xlnm._FilterDatabase" localSheetId="0" hidden="1">'📱 各班抽查登記表'!$A$7:$J$227</definedName>
    <definedName name="_xlnm.Print_Area" localSheetId="4">學生書包重量抽查結果分析表!$A$1:$E$24</definedName>
    <definedName name="_xlnm.Print_Area" localSheetId="3">學生書包重量抽查結果紀錄表!$A$1:$G$502</definedName>
    <definedName name="_xlnm.Print_Titles" localSheetId="3">學生書包重量抽查結果紀錄表!$1:$6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5" l="1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E233" i="5"/>
  <c r="F233" i="5" s="1"/>
  <c r="E234" i="5"/>
  <c r="F234" i="5" s="1"/>
  <c r="E244" i="5"/>
  <c r="F244" i="5" s="1"/>
  <c r="E254" i="5"/>
  <c r="F254" i="5" s="1"/>
  <c r="E255" i="5"/>
  <c r="F255" i="5" s="1"/>
  <c r="E270" i="5"/>
  <c r="F270" i="5" s="1"/>
  <c r="E278" i="5"/>
  <c r="F278" i="5" s="1"/>
  <c r="E287" i="5"/>
  <c r="F287" i="5" s="1"/>
  <c r="E288" i="5"/>
  <c r="F288" i="5" s="1"/>
  <c r="E292" i="5"/>
  <c r="F292" i="5" s="1"/>
  <c r="E302" i="5"/>
  <c r="F302" i="5" s="1"/>
  <c r="E303" i="5"/>
  <c r="F303" i="5" s="1"/>
  <c r="E304" i="5"/>
  <c r="F304" i="5" s="1"/>
  <c r="E312" i="5"/>
  <c r="F312" i="5" s="1"/>
  <c r="E313" i="5"/>
  <c r="F313" i="5" s="1"/>
  <c r="E342" i="5"/>
  <c r="F342" i="5" s="1"/>
  <c r="E343" i="5"/>
  <c r="F343" i="5" s="1"/>
  <c r="E344" i="5"/>
  <c r="F344" i="5" s="1"/>
  <c r="E358" i="5"/>
  <c r="F358" i="5" s="1"/>
  <c r="E359" i="5"/>
  <c r="F359" i="5" s="1"/>
  <c r="E366" i="5"/>
  <c r="F366" i="5" s="1"/>
  <c r="E375" i="5"/>
  <c r="F375" i="5" s="1"/>
  <c r="E376" i="5"/>
  <c r="F376" i="5" s="1"/>
  <c r="E388" i="5"/>
  <c r="F388" i="5" s="1"/>
  <c r="E389" i="5"/>
  <c r="F389" i="5" s="1"/>
  <c r="E390" i="5"/>
  <c r="F390" i="5" s="1"/>
  <c r="E391" i="5"/>
  <c r="F391" i="5" s="1"/>
  <c r="E398" i="5"/>
  <c r="F398" i="5" s="1"/>
  <c r="E399" i="5"/>
  <c r="F399" i="5" s="1"/>
  <c r="E402" i="5"/>
  <c r="F402" i="5" s="1"/>
  <c r="E403" i="5"/>
  <c r="F403" i="5" s="1"/>
  <c r="E414" i="5"/>
  <c r="F414" i="5" s="1"/>
  <c r="E421" i="5"/>
  <c r="F421" i="5" s="1"/>
  <c r="E431" i="5"/>
  <c r="F431" i="5" s="1"/>
  <c r="E435" i="5"/>
  <c r="F435" i="5" s="1"/>
  <c r="E443" i="5"/>
  <c r="F443" i="5" s="1"/>
  <c r="E444" i="5"/>
  <c r="F444" i="5" s="1"/>
  <c r="E445" i="5"/>
  <c r="F445" i="5" s="1"/>
  <c r="E446" i="5"/>
  <c r="F446" i="5" s="1"/>
  <c r="E464" i="5"/>
  <c r="F464" i="5" s="1"/>
  <c r="E468" i="5"/>
  <c r="F468" i="5" s="1"/>
  <c r="E478" i="5"/>
  <c r="F478" i="5" s="1"/>
  <c r="E479" i="5"/>
  <c r="F479" i="5" s="1"/>
  <c r="E487" i="5"/>
  <c r="F487" i="5" s="1"/>
  <c r="E488" i="5"/>
  <c r="F488" i="5" s="1"/>
  <c r="E489" i="5"/>
  <c r="F489" i="5" s="1"/>
  <c r="D7" i="5"/>
  <c r="E236" i="5"/>
  <c r="F236" i="5" s="1"/>
  <c r="E247" i="5"/>
  <c r="F247" i="5" s="1"/>
  <c r="E256" i="5"/>
  <c r="F256" i="5" s="1"/>
  <c r="E258" i="5"/>
  <c r="F258" i="5" s="1"/>
  <c r="E266" i="5"/>
  <c r="F266" i="5" s="1"/>
  <c r="E267" i="5"/>
  <c r="F267" i="5" s="1"/>
  <c r="E276" i="5"/>
  <c r="F276" i="5" s="1"/>
  <c r="E291" i="5"/>
  <c r="F291" i="5" s="1"/>
  <c r="E298" i="5"/>
  <c r="F298" i="5" s="1"/>
  <c r="E299" i="5"/>
  <c r="F299" i="5" s="1"/>
  <c r="E300" i="5"/>
  <c r="F300" i="5" s="1"/>
  <c r="E310" i="5"/>
  <c r="F310" i="5" s="1"/>
  <c r="E322" i="5"/>
  <c r="F322" i="5" s="1"/>
  <c r="E324" i="5"/>
  <c r="F324" i="5" s="1"/>
  <c r="E331" i="5"/>
  <c r="F331" i="5" s="1"/>
  <c r="E332" i="5"/>
  <c r="F332" i="5" s="1"/>
  <c r="E333" i="5"/>
  <c r="F333" i="5" s="1"/>
  <c r="E346" i="5"/>
  <c r="F346" i="5" s="1"/>
  <c r="E353" i="5"/>
  <c r="F353" i="5" s="1"/>
  <c r="E354" i="5"/>
  <c r="F354" i="5" s="1"/>
  <c r="E355" i="5"/>
  <c r="F355" i="5" s="1"/>
  <c r="E357" i="5"/>
  <c r="F357" i="5" s="1"/>
  <c r="E364" i="5"/>
  <c r="F364" i="5" s="1"/>
  <c r="E365" i="5"/>
  <c r="F365" i="5" s="1"/>
  <c r="E377" i="5"/>
  <c r="F377" i="5" s="1"/>
  <c r="E379" i="5"/>
  <c r="F379" i="5" s="1"/>
  <c r="E386" i="5"/>
  <c r="F386" i="5" s="1"/>
  <c r="E387" i="5"/>
  <c r="F387" i="5" s="1"/>
  <c r="E397" i="5"/>
  <c r="F397" i="5" s="1"/>
  <c r="E401" i="5"/>
  <c r="F401" i="5" s="1"/>
  <c r="E408" i="5"/>
  <c r="F408" i="5" s="1"/>
  <c r="E409" i="5"/>
  <c r="F409" i="5" s="1"/>
  <c r="E410" i="5"/>
  <c r="F410" i="5" s="1"/>
  <c r="E419" i="5"/>
  <c r="F419" i="5" s="1"/>
  <c r="E430" i="5"/>
  <c r="F430" i="5" s="1"/>
  <c r="E432" i="5"/>
  <c r="F432" i="5" s="1"/>
  <c r="E434" i="5"/>
  <c r="F434" i="5" s="1"/>
  <c r="E441" i="5"/>
  <c r="F441" i="5" s="1"/>
  <c r="E442" i="5"/>
  <c r="F442" i="5" s="1"/>
  <c r="E452" i="5"/>
  <c r="F452" i="5" s="1"/>
  <c r="E463" i="5"/>
  <c r="F463" i="5" s="1"/>
  <c r="E467" i="5"/>
  <c r="F467" i="5" s="1"/>
  <c r="E474" i="5"/>
  <c r="F474" i="5" s="1"/>
  <c r="E475" i="5"/>
  <c r="F475" i="5" s="1"/>
  <c r="E476" i="5"/>
  <c r="F476" i="5" s="1"/>
  <c r="E481" i="5"/>
  <c r="F481" i="5" s="1"/>
  <c r="E485" i="5"/>
  <c r="F485" i="5" s="1"/>
  <c r="E486" i="5"/>
  <c r="F486" i="5" s="1"/>
  <c r="C5" i="6"/>
  <c r="E4" i="6"/>
  <c r="C4" i="6"/>
  <c r="C3" i="6"/>
  <c r="E2" i="6"/>
  <c r="C2" i="6"/>
  <c r="E495" i="5"/>
  <c r="F495" i="5" s="1"/>
  <c r="E494" i="5"/>
  <c r="F494" i="5" s="1"/>
  <c r="E493" i="5"/>
  <c r="F493" i="5" s="1"/>
  <c r="E492" i="5"/>
  <c r="F492" i="5" s="1"/>
  <c r="E484" i="5"/>
  <c r="F484" i="5" s="1"/>
  <c r="E483" i="5"/>
  <c r="F483" i="5" s="1"/>
  <c r="E482" i="5"/>
  <c r="F482" i="5" s="1"/>
  <c r="E480" i="5"/>
  <c r="F480" i="5" s="1"/>
  <c r="E473" i="5"/>
  <c r="F473" i="5" s="1"/>
  <c r="E472" i="5"/>
  <c r="F472" i="5" s="1"/>
  <c r="E471" i="5"/>
  <c r="F471" i="5" s="1"/>
  <c r="E470" i="5"/>
  <c r="F470" i="5" s="1"/>
  <c r="E469" i="5"/>
  <c r="F469" i="5" s="1"/>
  <c r="E465" i="5"/>
  <c r="F465" i="5" s="1"/>
  <c r="E462" i="5"/>
  <c r="F462" i="5" s="1"/>
  <c r="E461" i="5"/>
  <c r="F461" i="5" s="1"/>
  <c r="E460" i="5"/>
  <c r="F460" i="5" s="1"/>
  <c r="E459" i="5"/>
  <c r="F459" i="5" s="1"/>
  <c r="E456" i="5"/>
  <c r="F456" i="5" s="1"/>
  <c r="E455" i="5"/>
  <c r="F455" i="5" s="1"/>
  <c r="E454" i="5"/>
  <c r="F454" i="5" s="1"/>
  <c r="E453" i="5"/>
  <c r="F453" i="5" s="1"/>
  <c r="E451" i="5"/>
  <c r="F451" i="5" s="1"/>
  <c r="E450" i="5"/>
  <c r="F450" i="5" s="1"/>
  <c r="E449" i="5"/>
  <c r="F449" i="5" s="1"/>
  <c r="E448" i="5"/>
  <c r="F448" i="5" s="1"/>
  <c r="E440" i="5"/>
  <c r="F440" i="5" s="1"/>
  <c r="E439" i="5"/>
  <c r="F439" i="5" s="1"/>
  <c r="E438" i="5"/>
  <c r="F438" i="5" s="1"/>
  <c r="E437" i="5"/>
  <c r="F437" i="5" s="1"/>
  <c r="E436" i="5"/>
  <c r="F436" i="5" s="1"/>
  <c r="E429" i="5"/>
  <c r="F429" i="5" s="1"/>
  <c r="E428" i="5"/>
  <c r="F428" i="5" s="1"/>
  <c r="E427" i="5"/>
  <c r="F427" i="5" s="1"/>
  <c r="E426" i="5"/>
  <c r="F426" i="5" s="1"/>
  <c r="E423" i="5"/>
  <c r="F423" i="5" s="1"/>
  <c r="E422" i="5"/>
  <c r="F422" i="5" s="1"/>
  <c r="E420" i="5"/>
  <c r="F420" i="5" s="1"/>
  <c r="E418" i="5"/>
  <c r="F418" i="5" s="1"/>
  <c r="E417" i="5"/>
  <c r="F417" i="5" s="1"/>
  <c r="E416" i="5"/>
  <c r="F416" i="5" s="1"/>
  <c r="E415" i="5"/>
  <c r="F415" i="5" s="1"/>
  <c r="E413" i="5"/>
  <c r="F413" i="5" s="1"/>
  <c r="E412" i="5"/>
  <c r="F412" i="5" s="1"/>
  <c r="E407" i="5"/>
  <c r="F407" i="5" s="1"/>
  <c r="E406" i="5"/>
  <c r="F406" i="5" s="1"/>
  <c r="E405" i="5"/>
  <c r="F405" i="5" s="1"/>
  <c r="E404" i="5"/>
  <c r="F404" i="5" s="1"/>
  <c r="E396" i="5"/>
  <c r="F396" i="5" s="1"/>
  <c r="E395" i="5"/>
  <c r="F395" i="5" s="1"/>
  <c r="E394" i="5"/>
  <c r="F394" i="5" s="1"/>
  <c r="E393" i="5"/>
  <c r="F393" i="5" s="1"/>
  <c r="E385" i="5"/>
  <c r="F385" i="5" s="1"/>
  <c r="E384" i="5"/>
  <c r="F384" i="5" s="1"/>
  <c r="E383" i="5"/>
  <c r="F383" i="5" s="1"/>
  <c r="E382" i="5"/>
  <c r="F382" i="5" s="1"/>
  <c r="E381" i="5"/>
  <c r="F381" i="5" s="1"/>
  <c r="E380" i="5"/>
  <c r="F380" i="5" s="1"/>
  <c r="E374" i="5"/>
  <c r="F374" i="5" s="1"/>
  <c r="E373" i="5"/>
  <c r="F373" i="5" s="1"/>
  <c r="E372" i="5"/>
  <c r="F372" i="5" s="1"/>
  <c r="E371" i="5"/>
  <c r="F371" i="5" s="1"/>
  <c r="E368" i="5"/>
  <c r="F368" i="5" s="1"/>
  <c r="E367" i="5"/>
  <c r="F367" i="5" s="1"/>
  <c r="E363" i="5"/>
  <c r="F363" i="5" s="1"/>
  <c r="E362" i="5"/>
  <c r="F362" i="5" s="1"/>
  <c r="E361" i="5"/>
  <c r="F361" i="5" s="1"/>
  <c r="E360" i="5"/>
  <c r="F360" i="5" s="1"/>
  <c r="E356" i="5"/>
  <c r="F356" i="5" s="1"/>
  <c r="E352" i="5"/>
  <c r="F352" i="5" s="1"/>
  <c r="E351" i="5"/>
  <c r="F351" i="5" s="1"/>
  <c r="E350" i="5"/>
  <c r="F350" i="5" s="1"/>
  <c r="E349" i="5"/>
  <c r="F349" i="5" s="1"/>
  <c r="E341" i="5"/>
  <c r="F341" i="5" s="1"/>
  <c r="E340" i="5"/>
  <c r="F340" i="5" s="1"/>
  <c r="E339" i="5"/>
  <c r="F339" i="5" s="1"/>
  <c r="E338" i="5"/>
  <c r="F338" i="5" s="1"/>
  <c r="E336" i="5"/>
  <c r="F336" i="5" s="1"/>
  <c r="E335" i="5"/>
  <c r="F335" i="5" s="1"/>
  <c r="E334" i="5"/>
  <c r="F334" i="5" s="1"/>
  <c r="E330" i="5"/>
  <c r="F330" i="5" s="1"/>
  <c r="E329" i="5"/>
  <c r="F329" i="5" s="1"/>
  <c r="E328" i="5"/>
  <c r="F328" i="5" s="1"/>
  <c r="E327" i="5"/>
  <c r="F327" i="5" s="1"/>
  <c r="E326" i="5"/>
  <c r="F326" i="5" s="1"/>
  <c r="E325" i="5"/>
  <c r="F325" i="5" s="1"/>
  <c r="E321" i="5"/>
  <c r="F321" i="5" s="1"/>
  <c r="E320" i="5"/>
  <c r="F320" i="5" s="1"/>
  <c r="E319" i="5"/>
  <c r="F319" i="5" s="1"/>
  <c r="E318" i="5"/>
  <c r="F318" i="5" s="1"/>
  <c r="E317" i="5"/>
  <c r="F317" i="5" s="1"/>
  <c r="E316" i="5"/>
  <c r="F316" i="5" s="1"/>
  <c r="E311" i="5"/>
  <c r="F311" i="5" s="1"/>
  <c r="E309" i="5"/>
  <c r="F309" i="5" s="1"/>
  <c r="E308" i="5"/>
  <c r="F308" i="5" s="1"/>
  <c r="E307" i="5"/>
  <c r="F307" i="5" s="1"/>
  <c r="E306" i="5"/>
  <c r="F306" i="5" s="1"/>
  <c r="E305" i="5"/>
  <c r="F305" i="5" s="1"/>
  <c r="E297" i="5"/>
  <c r="F297" i="5" s="1"/>
  <c r="E296" i="5"/>
  <c r="F296" i="5" s="1"/>
  <c r="E295" i="5"/>
  <c r="F295" i="5" s="1"/>
  <c r="E294" i="5"/>
  <c r="F294" i="5" s="1"/>
  <c r="E293" i="5"/>
  <c r="F293" i="5" s="1"/>
  <c r="E289" i="5"/>
  <c r="F289" i="5" s="1"/>
  <c r="E286" i="5"/>
  <c r="F286" i="5" s="1"/>
  <c r="E285" i="5"/>
  <c r="F285" i="5" s="1"/>
  <c r="E284" i="5"/>
  <c r="F284" i="5" s="1"/>
  <c r="E283" i="5"/>
  <c r="F283" i="5" s="1"/>
  <c r="E280" i="5"/>
  <c r="F280" i="5" s="1"/>
  <c r="E279" i="5"/>
  <c r="F279" i="5" s="1"/>
  <c r="E277" i="5"/>
  <c r="F277" i="5" s="1"/>
  <c r="E275" i="5"/>
  <c r="F275" i="5" s="1"/>
  <c r="E274" i="5"/>
  <c r="F274" i="5" s="1"/>
  <c r="E273" i="5"/>
  <c r="F273" i="5" s="1"/>
  <c r="E272" i="5"/>
  <c r="F272" i="5" s="1"/>
  <c r="E271" i="5"/>
  <c r="F271" i="5" s="1"/>
  <c r="E269" i="5"/>
  <c r="F269" i="5" s="1"/>
  <c r="E265" i="5"/>
  <c r="F265" i="5" s="1"/>
  <c r="E264" i="5"/>
  <c r="F264" i="5" s="1"/>
  <c r="E263" i="5"/>
  <c r="F263" i="5" s="1"/>
  <c r="E262" i="5"/>
  <c r="F262" i="5" s="1"/>
  <c r="E261" i="5"/>
  <c r="F261" i="5" s="1"/>
  <c r="E260" i="5"/>
  <c r="F260" i="5" s="1"/>
  <c r="E253" i="5"/>
  <c r="F253" i="5" s="1"/>
  <c r="E252" i="5"/>
  <c r="F252" i="5" s="1"/>
  <c r="E251" i="5"/>
  <c r="F251" i="5" s="1"/>
  <c r="E250" i="5"/>
  <c r="F250" i="5" s="1"/>
  <c r="E245" i="5"/>
  <c r="F245" i="5" s="1"/>
  <c r="E243" i="5"/>
  <c r="F243" i="5" s="1"/>
  <c r="E242" i="5"/>
  <c r="F242" i="5" s="1"/>
  <c r="E241" i="5"/>
  <c r="F241" i="5" s="1"/>
  <c r="E240" i="5"/>
  <c r="F240" i="5" s="1"/>
  <c r="E239" i="5"/>
  <c r="F239" i="5" s="1"/>
  <c r="E232" i="5"/>
  <c r="F232" i="5" s="1"/>
  <c r="E231" i="5"/>
  <c r="F231" i="5" s="1"/>
  <c r="E230" i="5"/>
  <c r="F230" i="5" s="1"/>
  <c r="E229" i="5"/>
  <c r="F229" i="5" s="1"/>
  <c r="E228" i="5"/>
  <c r="F228" i="5" s="1"/>
  <c r="G4" i="5"/>
  <c r="E490" i="5" l="1"/>
  <c r="F490" i="5" s="1"/>
  <c r="E457" i="5"/>
  <c r="F457" i="5" s="1"/>
  <c r="E424" i="5"/>
  <c r="F424" i="5" s="1"/>
  <c r="E369" i="5"/>
  <c r="F369" i="5" s="1"/>
  <c r="E347" i="5"/>
  <c r="F347" i="5" s="1"/>
  <c r="E314" i="5"/>
  <c r="F314" i="5" s="1"/>
  <c r="E281" i="5"/>
  <c r="F281" i="5" s="1"/>
  <c r="E259" i="5"/>
  <c r="F259" i="5" s="1"/>
  <c r="E248" i="5"/>
  <c r="F248" i="5" s="1"/>
  <c r="E237" i="5"/>
  <c r="F237" i="5" s="1"/>
  <c r="E477" i="5"/>
  <c r="F477" i="5" s="1"/>
  <c r="E466" i="5"/>
  <c r="F466" i="5" s="1"/>
  <c r="E433" i="5"/>
  <c r="F433" i="5" s="1"/>
  <c r="E411" i="5"/>
  <c r="F411" i="5" s="1"/>
  <c r="E400" i="5"/>
  <c r="F400" i="5" s="1"/>
  <c r="E378" i="5"/>
  <c r="F378" i="5" s="1"/>
  <c r="E345" i="5"/>
  <c r="F345" i="5" s="1"/>
  <c r="E323" i="5"/>
  <c r="F323" i="5" s="1"/>
  <c r="E301" i="5"/>
  <c r="F301" i="5" s="1"/>
  <c r="E290" i="5"/>
  <c r="F290" i="5" s="1"/>
  <c r="E268" i="5"/>
  <c r="F268" i="5" s="1"/>
  <c r="E257" i="5"/>
  <c r="F257" i="5" s="1"/>
  <c r="E246" i="5"/>
  <c r="F246" i="5" s="1"/>
  <c r="E235" i="5"/>
  <c r="F235" i="5" s="1"/>
  <c r="E491" i="5"/>
  <c r="F491" i="5" s="1"/>
  <c r="E458" i="5"/>
  <c r="F458" i="5" s="1"/>
  <c r="E447" i="5"/>
  <c r="F447" i="5" s="1"/>
  <c r="E425" i="5"/>
  <c r="F425" i="5" s="1"/>
  <c r="E392" i="5"/>
  <c r="F392" i="5" s="1"/>
  <c r="E370" i="5"/>
  <c r="F370" i="5" s="1"/>
  <c r="E348" i="5"/>
  <c r="F348" i="5" s="1"/>
  <c r="E337" i="5"/>
  <c r="F337" i="5" s="1"/>
  <c r="E315" i="5"/>
  <c r="F315" i="5" s="1"/>
  <c r="E282" i="5"/>
  <c r="F282" i="5" s="1"/>
  <c r="E249" i="5"/>
  <c r="F249" i="5" s="1"/>
  <c r="E238" i="5"/>
  <c r="F238" i="5" s="1"/>
  <c r="E227" i="5"/>
  <c r="F227" i="5" s="1"/>
  <c r="E5" i="6"/>
  <c r="E9" i="1"/>
  <c r="C8" i="5" s="1"/>
  <c r="E8" i="5" s="1"/>
  <c r="F8" i="5" s="1"/>
  <c r="E10" i="1"/>
  <c r="C9" i="5" s="1"/>
  <c r="E9" i="5" s="1"/>
  <c r="F9" i="5" s="1"/>
  <c r="E11" i="1"/>
  <c r="C10" i="5" s="1"/>
  <c r="E10" i="5" s="1"/>
  <c r="F10" i="5" s="1"/>
  <c r="E12" i="1"/>
  <c r="C11" i="5" s="1"/>
  <c r="E11" i="5" s="1"/>
  <c r="F11" i="5" s="1"/>
  <c r="E13" i="1"/>
  <c r="C12" i="5" s="1"/>
  <c r="E12" i="5" s="1"/>
  <c r="F12" i="5" s="1"/>
  <c r="E14" i="1"/>
  <c r="C13" i="5" s="1"/>
  <c r="E13" i="5" s="1"/>
  <c r="F13" i="5" s="1"/>
  <c r="E15" i="1"/>
  <c r="E16" i="1"/>
  <c r="E17" i="1"/>
  <c r="C16" i="5" s="1"/>
  <c r="E16" i="5" s="1"/>
  <c r="F16" i="5" s="1"/>
  <c r="E18" i="1"/>
  <c r="E19" i="1"/>
  <c r="C18" i="5" s="1"/>
  <c r="E18" i="5" s="1"/>
  <c r="F18" i="5" s="1"/>
  <c r="E20" i="1"/>
  <c r="C19" i="5" s="1"/>
  <c r="E19" i="5" s="1"/>
  <c r="F19" i="5" s="1"/>
  <c r="E21" i="1"/>
  <c r="C20" i="5" s="1"/>
  <c r="E20" i="5" s="1"/>
  <c r="F20" i="5" s="1"/>
  <c r="E22" i="1"/>
  <c r="C21" i="5" s="1"/>
  <c r="E21" i="5" s="1"/>
  <c r="F21" i="5" s="1"/>
  <c r="E23" i="1"/>
  <c r="C22" i="5" s="1"/>
  <c r="E22" i="5" s="1"/>
  <c r="F22" i="5" s="1"/>
  <c r="E24" i="1"/>
  <c r="C23" i="5" s="1"/>
  <c r="E23" i="5" s="1"/>
  <c r="F23" i="5" s="1"/>
  <c r="E25" i="1"/>
  <c r="C24" i="5" s="1"/>
  <c r="E24" i="5" s="1"/>
  <c r="F24" i="5" s="1"/>
  <c r="E26" i="1"/>
  <c r="C25" i="5" s="1"/>
  <c r="E25" i="5" s="1"/>
  <c r="F25" i="5" s="1"/>
  <c r="E27" i="1"/>
  <c r="C26" i="5" s="1"/>
  <c r="E26" i="5" s="1"/>
  <c r="F26" i="5" s="1"/>
  <c r="E28" i="1"/>
  <c r="C27" i="5" s="1"/>
  <c r="E27" i="5" s="1"/>
  <c r="F27" i="5" s="1"/>
  <c r="E29" i="1"/>
  <c r="C28" i="5" s="1"/>
  <c r="E28" i="5" s="1"/>
  <c r="F28" i="5" s="1"/>
  <c r="E30" i="1"/>
  <c r="C29" i="5" s="1"/>
  <c r="E29" i="5" s="1"/>
  <c r="F29" i="5" s="1"/>
  <c r="E31" i="1"/>
  <c r="C30" i="5" s="1"/>
  <c r="E30" i="5" s="1"/>
  <c r="F30" i="5" s="1"/>
  <c r="E32" i="1"/>
  <c r="C31" i="5" s="1"/>
  <c r="E31" i="5" s="1"/>
  <c r="F31" i="5" s="1"/>
  <c r="E33" i="1"/>
  <c r="C32" i="5" s="1"/>
  <c r="E32" i="5" s="1"/>
  <c r="F32" i="5" s="1"/>
  <c r="E34" i="1"/>
  <c r="C33" i="5" s="1"/>
  <c r="E33" i="5" s="1"/>
  <c r="F33" i="5" s="1"/>
  <c r="E35" i="1"/>
  <c r="C34" i="5" s="1"/>
  <c r="E34" i="5" s="1"/>
  <c r="F34" i="5" s="1"/>
  <c r="E36" i="1"/>
  <c r="C35" i="5" s="1"/>
  <c r="E35" i="5" s="1"/>
  <c r="F35" i="5" s="1"/>
  <c r="E37" i="1"/>
  <c r="C36" i="5" s="1"/>
  <c r="E36" i="5" s="1"/>
  <c r="F36" i="5" s="1"/>
  <c r="E38" i="1"/>
  <c r="C37" i="5" s="1"/>
  <c r="E37" i="5" s="1"/>
  <c r="F37" i="5" s="1"/>
  <c r="E39" i="1"/>
  <c r="C38" i="5" s="1"/>
  <c r="E38" i="5" s="1"/>
  <c r="F38" i="5" s="1"/>
  <c r="E40" i="1"/>
  <c r="C39" i="5" s="1"/>
  <c r="E39" i="5" s="1"/>
  <c r="F39" i="5" s="1"/>
  <c r="E41" i="1"/>
  <c r="C40" i="5" s="1"/>
  <c r="E40" i="5" s="1"/>
  <c r="F40" i="5" s="1"/>
  <c r="E42" i="1"/>
  <c r="C41" i="5" s="1"/>
  <c r="E41" i="5" s="1"/>
  <c r="F41" i="5" s="1"/>
  <c r="E43" i="1"/>
  <c r="C42" i="5" s="1"/>
  <c r="E42" i="5" s="1"/>
  <c r="F42" i="5" s="1"/>
  <c r="E44" i="1"/>
  <c r="C43" i="5" s="1"/>
  <c r="E43" i="5" s="1"/>
  <c r="F43" i="5" s="1"/>
  <c r="E45" i="1"/>
  <c r="C44" i="5" s="1"/>
  <c r="E44" i="5" s="1"/>
  <c r="F44" i="5" s="1"/>
  <c r="E46" i="1"/>
  <c r="C45" i="5" s="1"/>
  <c r="E45" i="5" s="1"/>
  <c r="F45" i="5" s="1"/>
  <c r="E47" i="1"/>
  <c r="C46" i="5" s="1"/>
  <c r="E46" i="5" s="1"/>
  <c r="F46" i="5" s="1"/>
  <c r="E48" i="1"/>
  <c r="C47" i="5" s="1"/>
  <c r="E47" i="5" s="1"/>
  <c r="F47" i="5" s="1"/>
  <c r="E49" i="1"/>
  <c r="C48" i="5" s="1"/>
  <c r="E48" i="5" s="1"/>
  <c r="F48" i="5" s="1"/>
  <c r="E50" i="1"/>
  <c r="C49" i="5" s="1"/>
  <c r="E49" i="5" s="1"/>
  <c r="F49" i="5" s="1"/>
  <c r="E51" i="1"/>
  <c r="C50" i="5" s="1"/>
  <c r="E50" i="5" s="1"/>
  <c r="F50" i="5" s="1"/>
  <c r="E52" i="1"/>
  <c r="C51" i="5" s="1"/>
  <c r="E51" i="5" s="1"/>
  <c r="F51" i="5" s="1"/>
  <c r="E53" i="1"/>
  <c r="C52" i="5" s="1"/>
  <c r="E52" i="5" s="1"/>
  <c r="F52" i="5" s="1"/>
  <c r="E54" i="1"/>
  <c r="C53" i="5" s="1"/>
  <c r="E53" i="5" s="1"/>
  <c r="F53" i="5" s="1"/>
  <c r="E55" i="1"/>
  <c r="C54" i="5" s="1"/>
  <c r="E54" i="5" s="1"/>
  <c r="F54" i="5" s="1"/>
  <c r="E56" i="1"/>
  <c r="C55" i="5" s="1"/>
  <c r="E55" i="5" s="1"/>
  <c r="F55" i="5" s="1"/>
  <c r="E57" i="1"/>
  <c r="C56" i="5" s="1"/>
  <c r="E56" i="5" s="1"/>
  <c r="F56" i="5" s="1"/>
  <c r="E58" i="1"/>
  <c r="C57" i="5" s="1"/>
  <c r="E57" i="5" s="1"/>
  <c r="F57" i="5" s="1"/>
  <c r="E59" i="1"/>
  <c r="C58" i="5" s="1"/>
  <c r="E58" i="5" s="1"/>
  <c r="F58" i="5" s="1"/>
  <c r="E60" i="1"/>
  <c r="C59" i="5" s="1"/>
  <c r="E59" i="5" s="1"/>
  <c r="F59" i="5" s="1"/>
  <c r="E61" i="1"/>
  <c r="C60" i="5" s="1"/>
  <c r="E60" i="5" s="1"/>
  <c r="F60" i="5" s="1"/>
  <c r="E62" i="1"/>
  <c r="C61" i="5" s="1"/>
  <c r="E61" i="5" s="1"/>
  <c r="F61" i="5" s="1"/>
  <c r="E63" i="1"/>
  <c r="C62" i="5" s="1"/>
  <c r="E62" i="5" s="1"/>
  <c r="F62" i="5" s="1"/>
  <c r="E64" i="1"/>
  <c r="C63" i="5" s="1"/>
  <c r="E63" i="5" s="1"/>
  <c r="F63" i="5" s="1"/>
  <c r="E65" i="1"/>
  <c r="C64" i="5" s="1"/>
  <c r="E64" i="5" s="1"/>
  <c r="F64" i="5" s="1"/>
  <c r="E66" i="1"/>
  <c r="C65" i="5" s="1"/>
  <c r="E65" i="5" s="1"/>
  <c r="F65" i="5" s="1"/>
  <c r="E67" i="1"/>
  <c r="C66" i="5" s="1"/>
  <c r="E66" i="5" s="1"/>
  <c r="F66" i="5" s="1"/>
  <c r="E68" i="1"/>
  <c r="C67" i="5" s="1"/>
  <c r="E67" i="5" s="1"/>
  <c r="F67" i="5" s="1"/>
  <c r="E69" i="1"/>
  <c r="C68" i="5" s="1"/>
  <c r="E68" i="5" s="1"/>
  <c r="F68" i="5" s="1"/>
  <c r="E70" i="1"/>
  <c r="C69" i="5" s="1"/>
  <c r="E69" i="5" s="1"/>
  <c r="F69" i="5" s="1"/>
  <c r="E71" i="1"/>
  <c r="C70" i="5" s="1"/>
  <c r="E70" i="5" s="1"/>
  <c r="F70" i="5" s="1"/>
  <c r="E72" i="1"/>
  <c r="C71" i="5" s="1"/>
  <c r="E71" i="5" s="1"/>
  <c r="F71" i="5" s="1"/>
  <c r="E73" i="1"/>
  <c r="C72" i="5" s="1"/>
  <c r="E72" i="5" s="1"/>
  <c r="F72" i="5" s="1"/>
  <c r="E74" i="1"/>
  <c r="C73" i="5" s="1"/>
  <c r="E73" i="5" s="1"/>
  <c r="F73" i="5" s="1"/>
  <c r="E75" i="1"/>
  <c r="C74" i="5" s="1"/>
  <c r="E74" i="5" s="1"/>
  <c r="F74" i="5" s="1"/>
  <c r="E76" i="1"/>
  <c r="C75" i="5" s="1"/>
  <c r="E75" i="5" s="1"/>
  <c r="F75" i="5" s="1"/>
  <c r="E77" i="1"/>
  <c r="C76" i="5" s="1"/>
  <c r="E76" i="5" s="1"/>
  <c r="F76" i="5" s="1"/>
  <c r="E78" i="1"/>
  <c r="C77" i="5" s="1"/>
  <c r="E77" i="5" s="1"/>
  <c r="F77" i="5" s="1"/>
  <c r="E79" i="1"/>
  <c r="C78" i="5" s="1"/>
  <c r="E78" i="5" s="1"/>
  <c r="F78" i="5" s="1"/>
  <c r="E80" i="1"/>
  <c r="C79" i="5" s="1"/>
  <c r="E79" i="5" s="1"/>
  <c r="F79" i="5" s="1"/>
  <c r="E81" i="1"/>
  <c r="C80" i="5" s="1"/>
  <c r="E80" i="5" s="1"/>
  <c r="F80" i="5" s="1"/>
  <c r="E82" i="1"/>
  <c r="C81" i="5" s="1"/>
  <c r="E81" i="5" s="1"/>
  <c r="F81" i="5" s="1"/>
  <c r="E83" i="1"/>
  <c r="C82" i="5" s="1"/>
  <c r="E82" i="5" s="1"/>
  <c r="F82" i="5" s="1"/>
  <c r="E84" i="1"/>
  <c r="C83" i="5" s="1"/>
  <c r="E83" i="5" s="1"/>
  <c r="F83" i="5" s="1"/>
  <c r="E85" i="1"/>
  <c r="C84" i="5" s="1"/>
  <c r="E84" i="5" s="1"/>
  <c r="F84" i="5" s="1"/>
  <c r="E86" i="1"/>
  <c r="C85" i="5" s="1"/>
  <c r="E85" i="5" s="1"/>
  <c r="F85" i="5" s="1"/>
  <c r="E87" i="1"/>
  <c r="C86" i="5" s="1"/>
  <c r="E86" i="5" s="1"/>
  <c r="F86" i="5" s="1"/>
  <c r="E88" i="1"/>
  <c r="C87" i="5" s="1"/>
  <c r="E87" i="5" s="1"/>
  <c r="F87" i="5" s="1"/>
  <c r="E89" i="1"/>
  <c r="C88" i="5" s="1"/>
  <c r="E88" i="5" s="1"/>
  <c r="F88" i="5" s="1"/>
  <c r="E90" i="1"/>
  <c r="C89" i="5" s="1"/>
  <c r="E89" i="5" s="1"/>
  <c r="F89" i="5" s="1"/>
  <c r="E91" i="1"/>
  <c r="C90" i="5" s="1"/>
  <c r="E90" i="5" s="1"/>
  <c r="F90" i="5" s="1"/>
  <c r="E92" i="1"/>
  <c r="C91" i="5" s="1"/>
  <c r="E91" i="5" s="1"/>
  <c r="F91" i="5" s="1"/>
  <c r="E93" i="1"/>
  <c r="C92" i="5" s="1"/>
  <c r="E92" i="5" s="1"/>
  <c r="F92" i="5" s="1"/>
  <c r="E94" i="1"/>
  <c r="C93" i="5" s="1"/>
  <c r="E93" i="5" s="1"/>
  <c r="F93" i="5" s="1"/>
  <c r="E95" i="1"/>
  <c r="C94" i="5" s="1"/>
  <c r="E94" i="5" s="1"/>
  <c r="F94" i="5" s="1"/>
  <c r="E96" i="1"/>
  <c r="C95" i="5" s="1"/>
  <c r="E95" i="5" s="1"/>
  <c r="F95" i="5" s="1"/>
  <c r="E97" i="1"/>
  <c r="C96" i="5" s="1"/>
  <c r="E96" i="5" s="1"/>
  <c r="F96" i="5" s="1"/>
  <c r="E98" i="1"/>
  <c r="C97" i="5" s="1"/>
  <c r="E97" i="5" s="1"/>
  <c r="F97" i="5" s="1"/>
  <c r="E99" i="1"/>
  <c r="C98" i="5" s="1"/>
  <c r="E98" i="5" s="1"/>
  <c r="F98" i="5" s="1"/>
  <c r="E100" i="1"/>
  <c r="C99" i="5" s="1"/>
  <c r="E99" i="5" s="1"/>
  <c r="F99" i="5" s="1"/>
  <c r="E101" i="1"/>
  <c r="C100" i="5" s="1"/>
  <c r="E100" i="5" s="1"/>
  <c r="F100" i="5" s="1"/>
  <c r="E102" i="1"/>
  <c r="C101" i="5" s="1"/>
  <c r="E101" i="5" s="1"/>
  <c r="F101" i="5" s="1"/>
  <c r="E103" i="1"/>
  <c r="C102" i="5" s="1"/>
  <c r="E102" i="5" s="1"/>
  <c r="F102" i="5" s="1"/>
  <c r="E104" i="1"/>
  <c r="C103" i="5" s="1"/>
  <c r="E103" i="5" s="1"/>
  <c r="F103" i="5" s="1"/>
  <c r="E105" i="1"/>
  <c r="C104" i="5" s="1"/>
  <c r="E104" i="5" s="1"/>
  <c r="F104" i="5" s="1"/>
  <c r="E106" i="1"/>
  <c r="C105" i="5" s="1"/>
  <c r="E105" i="5" s="1"/>
  <c r="F105" i="5" s="1"/>
  <c r="E107" i="1"/>
  <c r="C106" i="5" s="1"/>
  <c r="E106" i="5" s="1"/>
  <c r="F106" i="5" s="1"/>
  <c r="E108" i="1"/>
  <c r="C107" i="5" s="1"/>
  <c r="E107" i="5" s="1"/>
  <c r="F107" i="5" s="1"/>
  <c r="E109" i="1"/>
  <c r="C108" i="5" s="1"/>
  <c r="E108" i="5" s="1"/>
  <c r="F108" i="5" s="1"/>
  <c r="E110" i="1"/>
  <c r="C109" i="5" s="1"/>
  <c r="E109" i="5" s="1"/>
  <c r="F109" i="5" s="1"/>
  <c r="E111" i="1"/>
  <c r="C110" i="5" s="1"/>
  <c r="E110" i="5" s="1"/>
  <c r="F110" i="5" s="1"/>
  <c r="E112" i="1"/>
  <c r="C111" i="5" s="1"/>
  <c r="E111" i="5" s="1"/>
  <c r="F111" i="5" s="1"/>
  <c r="E113" i="1"/>
  <c r="C112" i="5" s="1"/>
  <c r="E112" i="5" s="1"/>
  <c r="F112" i="5" s="1"/>
  <c r="E114" i="1"/>
  <c r="C113" i="5" s="1"/>
  <c r="E113" i="5" s="1"/>
  <c r="F113" i="5" s="1"/>
  <c r="E115" i="1"/>
  <c r="C114" i="5" s="1"/>
  <c r="E114" i="5" s="1"/>
  <c r="F114" i="5" s="1"/>
  <c r="E116" i="1"/>
  <c r="C115" i="5" s="1"/>
  <c r="E115" i="5" s="1"/>
  <c r="F115" i="5" s="1"/>
  <c r="E117" i="1"/>
  <c r="C116" i="5" s="1"/>
  <c r="E116" i="5" s="1"/>
  <c r="F116" i="5" s="1"/>
  <c r="E118" i="1"/>
  <c r="C117" i="5" s="1"/>
  <c r="E117" i="5" s="1"/>
  <c r="F117" i="5" s="1"/>
  <c r="E119" i="1"/>
  <c r="C118" i="5" s="1"/>
  <c r="E118" i="5" s="1"/>
  <c r="F118" i="5" s="1"/>
  <c r="E120" i="1"/>
  <c r="C119" i="5" s="1"/>
  <c r="E119" i="5" s="1"/>
  <c r="F119" i="5" s="1"/>
  <c r="E121" i="1"/>
  <c r="C120" i="5" s="1"/>
  <c r="E120" i="5" s="1"/>
  <c r="F120" i="5" s="1"/>
  <c r="E122" i="1"/>
  <c r="C121" i="5" s="1"/>
  <c r="E121" i="5" s="1"/>
  <c r="F121" i="5" s="1"/>
  <c r="E123" i="1"/>
  <c r="C122" i="5" s="1"/>
  <c r="E122" i="5" s="1"/>
  <c r="F122" i="5" s="1"/>
  <c r="E124" i="1"/>
  <c r="C123" i="5" s="1"/>
  <c r="E123" i="5" s="1"/>
  <c r="F123" i="5" s="1"/>
  <c r="E125" i="1"/>
  <c r="C124" i="5" s="1"/>
  <c r="E124" i="5" s="1"/>
  <c r="F124" i="5" s="1"/>
  <c r="E126" i="1"/>
  <c r="C125" i="5" s="1"/>
  <c r="E125" i="5" s="1"/>
  <c r="F125" i="5" s="1"/>
  <c r="E127" i="1"/>
  <c r="C126" i="5" s="1"/>
  <c r="E126" i="5" s="1"/>
  <c r="F126" i="5" s="1"/>
  <c r="E128" i="1"/>
  <c r="C127" i="5" s="1"/>
  <c r="E127" i="5" s="1"/>
  <c r="F127" i="5" s="1"/>
  <c r="E129" i="1"/>
  <c r="C128" i="5" s="1"/>
  <c r="E128" i="5" s="1"/>
  <c r="F128" i="5" s="1"/>
  <c r="E130" i="1"/>
  <c r="C129" i="5" s="1"/>
  <c r="E129" i="5" s="1"/>
  <c r="F129" i="5" s="1"/>
  <c r="E131" i="1"/>
  <c r="C130" i="5" s="1"/>
  <c r="E130" i="5" s="1"/>
  <c r="F130" i="5" s="1"/>
  <c r="E132" i="1"/>
  <c r="C131" i="5" s="1"/>
  <c r="E131" i="5" s="1"/>
  <c r="F131" i="5" s="1"/>
  <c r="E133" i="1"/>
  <c r="C132" i="5" s="1"/>
  <c r="E132" i="5" s="1"/>
  <c r="F132" i="5" s="1"/>
  <c r="E134" i="1"/>
  <c r="C133" i="5" s="1"/>
  <c r="E133" i="5" s="1"/>
  <c r="F133" i="5" s="1"/>
  <c r="E135" i="1"/>
  <c r="C134" i="5" s="1"/>
  <c r="E134" i="5" s="1"/>
  <c r="F134" i="5" s="1"/>
  <c r="E136" i="1"/>
  <c r="C135" i="5" s="1"/>
  <c r="E135" i="5" s="1"/>
  <c r="F135" i="5" s="1"/>
  <c r="E137" i="1"/>
  <c r="C136" i="5" s="1"/>
  <c r="E136" i="5" s="1"/>
  <c r="F136" i="5" s="1"/>
  <c r="E138" i="1"/>
  <c r="C137" i="5" s="1"/>
  <c r="E137" i="5" s="1"/>
  <c r="F137" i="5" s="1"/>
  <c r="E139" i="1"/>
  <c r="C138" i="5" s="1"/>
  <c r="E138" i="5" s="1"/>
  <c r="F138" i="5" s="1"/>
  <c r="E140" i="1"/>
  <c r="C139" i="5" s="1"/>
  <c r="E139" i="5" s="1"/>
  <c r="F139" i="5" s="1"/>
  <c r="E141" i="1"/>
  <c r="C140" i="5" s="1"/>
  <c r="E140" i="5" s="1"/>
  <c r="F140" i="5" s="1"/>
  <c r="E142" i="1"/>
  <c r="C141" i="5" s="1"/>
  <c r="E141" i="5" s="1"/>
  <c r="F141" i="5" s="1"/>
  <c r="E143" i="1"/>
  <c r="C142" i="5" s="1"/>
  <c r="E142" i="5" s="1"/>
  <c r="F142" i="5" s="1"/>
  <c r="E144" i="1"/>
  <c r="C143" i="5" s="1"/>
  <c r="E143" i="5" s="1"/>
  <c r="F143" i="5" s="1"/>
  <c r="E145" i="1"/>
  <c r="C144" i="5" s="1"/>
  <c r="E144" i="5" s="1"/>
  <c r="F144" i="5" s="1"/>
  <c r="E146" i="1"/>
  <c r="C145" i="5" s="1"/>
  <c r="E145" i="5" s="1"/>
  <c r="F145" i="5" s="1"/>
  <c r="E147" i="1"/>
  <c r="C146" i="5" s="1"/>
  <c r="E146" i="5" s="1"/>
  <c r="F146" i="5" s="1"/>
  <c r="E148" i="1"/>
  <c r="C147" i="5" s="1"/>
  <c r="E147" i="5" s="1"/>
  <c r="F147" i="5" s="1"/>
  <c r="E149" i="1"/>
  <c r="C148" i="5" s="1"/>
  <c r="E148" i="5" s="1"/>
  <c r="F148" i="5" s="1"/>
  <c r="E150" i="1"/>
  <c r="C149" i="5" s="1"/>
  <c r="E149" i="5" s="1"/>
  <c r="F149" i="5" s="1"/>
  <c r="E151" i="1"/>
  <c r="C150" i="5" s="1"/>
  <c r="E150" i="5" s="1"/>
  <c r="F150" i="5" s="1"/>
  <c r="E152" i="1"/>
  <c r="C151" i="5" s="1"/>
  <c r="E151" i="5" s="1"/>
  <c r="F151" i="5" s="1"/>
  <c r="E153" i="1"/>
  <c r="C152" i="5" s="1"/>
  <c r="E152" i="5" s="1"/>
  <c r="F152" i="5" s="1"/>
  <c r="E154" i="1"/>
  <c r="C153" i="5" s="1"/>
  <c r="E153" i="5" s="1"/>
  <c r="F153" i="5" s="1"/>
  <c r="E155" i="1"/>
  <c r="C154" i="5" s="1"/>
  <c r="E154" i="5" s="1"/>
  <c r="F154" i="5" s="1"/>
  <c r="E156" i="1"/>
  <c r="C155" i="5" s="1"/>
  <c r="E155" i="5" s="1"/>
  <c r="F155" i="5" s="1"/>
  <c r="E157" i="1"/>
  <c r="C156" i="5" s="1"/>
  <c r="E156" i="5" s="1"/>
  <c r="F156" i="5" s="1"/>
  <c r="E158" i="1"/>
  <c r="C157" i="5" s="1"/>
  <c r="E157" i="5" s="1"/>
  <c r="F157" i="5" s="1"/>
  <c r="E159" i="1"/>
  <c r="C158" i="5" s="1"/>
  <c r="E158" i="5" s="1"/>
  <c r="F158" i="5" s="1"/>
  <c r="E160" i="1"/>
  <c r="C159" i="5" s="1"/>
  <c r="E159" i="5" s="1"/>
  <c r="F159" i="5" s="1"/>
  <c r="E161" i="1"/>
  <c r="C160" i="5" s="1"/>
  <c r="E160" i="5" s="1"/>
  <c r="F160" i="5" s="1"/>
  <c r="E162" i="1"/>
  <c r="C161" i="5" s="1"/>
  <c r="E161" i="5" s="1"/>
  <c r="F161" i="5" s="1"/>
  <c r="E163" i="1"/>
  <c r="C162" i="5" s="1"/>
  <c r="E162" i="5" s="1"/>
  <c r="F162" i="5" s="1"/>
  <c r="E164" i="1"/>
  <c r="C163" i="5" s="1"/>
  <c r="E163" i="5" s="1"/>
  <c r="F163" i="5" s="1"/>
  <c r="E165" i="1"/>
  <c r="C164" i="5" s="1"/>
  <c r="E164" i="5" s="1"/>
  <c r="F164" i="5" s="1"/>
  <c r="E166" i="1"/>
  <c r="C165" i="5" s="1"/>
  <c r="E165" i="5" s="1"/>
  <c r="F165" i="5" s="1"/>
  <c r="E167" i="1"/>
  <c r="C166" i="5" s="1"/>
  <c r="E166" i="5" s="1"/>
  <c r="F166" i="5" s="1"/>
  <c r="E168" i="1"/>
  <c r="C167" i="5" s="1"/>
  <c r="E167" i="5" s="1"/>
  <c r="F167" i="5" s="1"/>
  <c r="E169" i="1"/>
  <c r="C168" i="5" s="1"/>
  <c r="E168" i="5" s="1"/>
  <c r="F168" i="5" s="1"/>
  <c r="E170" i="1"/>
  <c r="C169" i="5" s="1"/>
  <c r="E169" i="5" s="1"/>
  <c r="F169" i="5" s="1"/>
  <c r="E171" i="1"/>
  <c r="C170" i="5" s="1"/>
  <c r="E170" i="5" s="1"/>
  <c r="F170" i="5" s="1"/>
  <c r="E172" i="1"/>
  <c r="C171" i="5" s="1"/>
  <c r="E171" i="5" s="1"/>
  <c r="F171" i="5" s="1"/>
  <c r="E173" i="1"/>
  <c r="C172" i="5" s="1"/>
  <c r="E172" i="5" s="1"/>
  <c r="F172" i="5" s="1"/>
  <c r="E174" i="1"/>
  <c r="E175" i="1"/>
  <c r="C174" i="5" s="1"/>
  <c r="E174" i="5" s="1"/>
  <c r="F174" i="5" s="1"/>
  <c r="E176" i="1"/>
  <c r="C175" i="5" s="1"/>
  <c r="E175" i="5" s="1"/>
  <c r="F175" i="5" s="1"/>
  <c r="E177" i="1"/>
  <c r="C176" i="5" s="1"/>
  <c r="E176" i="5" s="1"/>
  <c r="F176" i="5" s="1"/>
  <c r="E178" i="1"/>
  <c r="E179" i="1"/>
  <c r="E180" i="1"/>
  <c r="E181" i="1"/>
  <c r="E182" i="1"/>
  <c r="E183" i="1"/>
  <c r="C182" i="5" s="1"/>
  <c r="E182" i="5" s="1"/>
  <c r="F182" i="5" s="1"/>
  <c r="E184" i="1"/>
  <c r="E185" i="1"/>
  <c r="E186" i="1"/>
  <c r="C185" i="5" s="1"/>
  <c r="E185" i="5" s="1"/>
  <c r="F185" i="5" s="1"/>
  <c r="E187" i="1"/>
  <c r="E188" i="1"/>
  <c r="E189" i="1"/>
  <c r="E190" i="1"/>
  <c r="E191" i="1"/>
  <c r="E192" i="1"/>
  <c r="E193" i="1"/>
  <c r="E194" i="1"/>
  <c r="E195" i="1"/>
  <c r="E196" i="1"/>
  <c r="E197" i="1"/>
  <c r="C196" i="5" s="1"/>
  <c r="E196" i="5" s="1"/>
  <c r="F196" i="5" s="1"/>
  <c r="E198" i="1"/>
  <c r="E236" i="2" s="1"/>
  <c r="E199" i="1"/>
  <c r="C198" i="5" s="1"/>
  <c r="E198" i="5" s="1"/>
  <c r="F198" i="5" s="1"/>
  <c r="E200" i="1"/>
  <c r="E201" i="1"/>
  <c r="E202" i="1"/>
  <c r="E203" i="1"/>
  <c r="E204" i="1"/>
  <c r="E205" i="1"/>
  <c r="E206" i="1"/>
  <c r="E207" i="1"/>
  <c r="E208" i="1"/>
  <c r="C207" i="5" s="1"/>
  <c r="E207" i="5" s="1"/>
  <c r="F207" i="5" s="1"/>
  <c r="E209" i="1"/>
  <c r="C208" i="5" s="1"/>
  <c r="E208" i="5" s="1"/>
  <c r="F208" i="5" s="1"/>
  <c r="E210" i="1"/>
  <c r="E211" i="1"/>
  <c r="E212" i="1"/>
  <c r="E213" i="1"/>
  <c r="E214" i="1"/>
  <c r="E215" i="1"/>
  <c r="E216" i="1"/>
  <c r="C215" i="5" s="1"/>
  <c r="E215" i="5" s="1"/>
  <c r="F215" i="5" s="1"/>
  <c r="E217" i="1"/>
  <c r="E218" i="1"/>
  <c r="E219" i="1"/>
  <c r="E220" i="1"/>
  <c r="E221" i="1"/>
  <c r="E222" i="1"/>
  <c r="E223" i="1"/>
  <c r="E224" i="1"/>
  <c r="E225" i="1"/>
  <c r="E226" i="1"/>
  <c r="E227" i="1"/>
  <c r="D9" i="1"/>
  <c r="D47" i="2" s="1"/>
  <c r="D10" i="1"/>
  <c r="D48" i="2" s="1"/>
  <c r="D11" i="1"/>
  <c r="D49" i="2" s="1"/>
  <c r="D12" i="1"/>
  <c r="D50" i="2" s="1"/>
  <c r="D13" i="1"/>
  <c r="D51" i="2" s="1"/>
  <c r="D14" i="1"/>
  <c r="D52" i="2" s="1"/>
  <c r="D15" i="1"/>
  <c r="D53" i="2" s="1"/>
  <c r="D16" i="1"/>
  <c r="D54" i="2" s="1"/>
  <c r="D17" i="1"/>
  <c r="D55" i="2" s="1"/>
  <c r="D18" i="1"/>
  <c r="D56" i="2" s="1"/>
  <c r="D19" i="1"/>
  <c r="D57" i="2" s="1"/>
  <c r="D20" i="1"/>
  <c r="D58" i="2" s="1"/>
  <c r="D21" i="1"/>
  <c r="D59" i="2" s="1"/>
  <c r="D22" i="1"/>
  <c r="D60" i="2" s="1"/>
  <c r="D23" i="1"/>
  <c r="D61" i="2" s="1"/>
  <c r="D24" i="1"/>
  <c r="D62" i="2" s="1"/>
  <c r="D25" i="1"/>
  <c r="D63" i="2" s="1"/>
  <c r="D26" i="1"/>
  <c r="D64" i="2" s="1"/>
  <c r="D27" i="1"/>
  <c r="D65" i="2" s="1"/>
  <c r="D28" i="1"/>
  <c r="D66" i="2" s="1"/>
  <c r="D29" i="1"/>
  <c r="D67" i="2" s="1"/>
  <c r="D30" i="1"/>
  <c r="D68" i="2" s="1"/>
  <c r="D31" i="1"/>
  <c r="D69" i="2" s="1"/>
  <c r="D32" i="1"/>
  <c r="D70" i="2" s="1"/>
  <c r="D33" i="1"/>
  <c r="D71" i="2" s="1"/>
  <c r="D34" i="1"/>
  <c r="D72" i="2" s="1"/>
  <c r="D35" i="1"/>
  <c r="D73" i="2" s="1"/>
  <c r="D36" i="1"/>
  <c r="D74" i="2" s="1"/>
  <c r="D37" i="1"/>
  <c r="D75" i="2" s="1"/>
  <c r="D38" i="1"/>
  <c r="D76" i="2" s="1"/>
  <c r="D39" i="1"/>
  <c r="D77" i="2" s="1"/>
  <c r="D40" i="1"/>
  <c r="D78" i="2" s="1"/>
  <c r="D41" i="1"/>
  <c r="D79" i="2" s="1"/>
  <c r="D42" i="1"/>
  <c r="D80" i="2" s="1"/>
  <c r="D43" i="1"/>
  <c r="D81" i="2" s="1"/>
  <c r="D44" i="1"/>
  <c r="D82" i="2" s="1"/>
  <c r="D45" i="1"/>
  <c r="D83" i="2" s="1"/>
  <c r="D46" i="1"/>
  <c r="D84" i="2" s="1"/>
  <c r="D47" i="1"/>
  <c r="D85" i="2" s="1"/>
  <c r="D48" i="1"/>
  <c r="D86" i="2" s="1"/>
  <c r="D49" i="1"/>
  <c r="D87" i="2" s="1"/>
  <c r="D50" i="1"/>
  <c r="D88" i="2" s="1"/>
  <c r="D51" i="1"/>
  <c r="D89" i="2" s="1"/>
  <c r="D52" i="1"/>
  <c r="D90" i="2" s="1"/>
  <c r="D53" i="1"/>
  <c r="D91" i="2" s="1"/>
  <c r="D54" i="1"/>
  <c r="D92" i="2" s="1"/>
  <c r="D55" i="1"/>
  <c r="D93" i="2" s="1"/>
  <c r="D56" i="1"/>
  <c r="D94" i="2" s="1"/>
  <c r="D57" i="1"/>
  <c r="D95" i="2" s="1"/>
  <c r="D58" i="1"/>
  <c r="D96" i="2" s="1"/>
  <c r="D59" i="1"/>
  <c r="D97" i="2" s="1"/>
  <c r="D60" i="1"/>
  <c r="D98" i="2" s="1"/>
  <c r="D61" i="1"/>
  <c r="D99" i="2" s="1"/>
  <c r="D62" i="1"/>
  <c r="D100" i="2" s="1"/>
  <c r="D63" i="1"/>
  <c r="D101" i="2" s="1"/>
  <c r="D64" i="1"/>
  <c r="D102" i="2" s="1"/>
  <c r="D65" i="1"/>
  <c r="D103" i="2" s="1"/>
  <c r="D66" i="1"/>
  <c r="D104" i="2" s="1"/>
  <c r="D67" i="1"/>
  <c r="D105" i="2" s="1"/>
  <c r="D68" i="1"/>
  <c r="D106" i="2" s="1"/>
  <c r="D69" i="1"/>
  <c r="D107" i="2" s="1"/>
  <c r="D70" i="1"/>
  <c r="D108" i="2" s="1"/>
  <c r="D71" i="1"/>
  <c r="D109" i="2" s="1"/>
  <c r="D72" i="1"/>
  <c r="D110" i="2" s="1"/>
  <c r="D73" i="1"/>
  <c r="D111" i="2" s="1"/>
  <c r="D74" i="1"/>
  <c r="D112" i="2" s="1"/>
  <c r="D75" i="1"/>
  <c r="D113" i="2" s="1"/>
  <c r="D76" i="1"/>
  <c r="D114" i="2" s="1"/>
  <c r="D77" i="1"/>
  <c r="D115" i="2" s="1"/>
  <c r="D78" i="1"/>
  <c r="D116" i="2" s="1"/>
  <c r="D79" i="1"/>
  <c r="D117" i="2" s="1"/>
  <c r="D80" i="1"/>
  <c r="D118" i="2" s="1"/>
  <c r="D81" i="1"/>
  <c r="D119" i="2" s="1"/>
  <c r="D82" i="1"/>
  <c r="D120" i="2" s="1"/>
  <c r="D83" i="1"/>
  <c r="D121" i="2" s="1"/>
  <c r="D84" i="1"/>
  <c r="D122" i="2" s="1"/>
  <c r="D85" i="1"/>
  <c r="D123" i="2" s="1"/>
  <c r="D86" i="1"/>
  <c r="D124" i="2" s="1"/>
  <c r="D87" i="1"/>
  <c r="D125" i="2" s="1"/>
  <c r="D88" i="1"/>
  <c r="D126" i="2" s="1"/>
  <c r="D89" i="1"/>
  <c r="D127" i="2" s="1"/>
  <c r="D90" i="1"/>
  <c r="D128" i="2" s="1"/>
  <c r="D91" i="1"/>
  <c r="D129" i="2" s="1"/>
  <c r="D92" i="1"/>
  <c r="D130" i="2" s="1"/>
  <c r="D93" i="1"/>
  <c r="D131" i="2" s="1"/>
  <c r="D94" i="1"/>
  <c r="D132" i="2" s="1"/>
  <c r="D95" i="1"/>
  <c r="D133" i="2" s="1"/>
  <c r="D96" i="1"/>
  <c r="D134" i="2" s="1"/>
  <c r="D97" i="1"/>
  <c r="D135" i="2" s="1"/>
  <c r="D98" i="1"/>
  <c r="D136" i="2" s="1"/>
  <c r="D99" i="1"/>
  <c r="D137" i="2" s="1"/>
  <c r="D100" i="1"/>
  <c r="D138" i="2" s="1"/>
  <c r="D101" i="1"/>
  <c r="D139" i="2" s="1"/>
  <c r="D102" i="1"/>
  <c r="D140" i="2" s="1"/>
  <c r="D103" i="1"/>
  <c r="D141" i="2" s="1"/>
  <c r="D104" i="1"/>
  <c r="D142" i="2" s="1"/>
  <c r="D105" i="1"/>
  <c r="D143" i="2" s="1"/>
  <c r="D106" i="1"/>
  <c r="D144" i="2" s="1"/>
  <c r="D107" i="1"/>
  <c r="D145" i="2" s="1"/>
  <c r="D108" i="1"/>
  <c r="D146" i="2" s="1"/>
  <c r="D109" i="1"/>
  <c r="D147" i="2" s="1"/>
  <c r="D110" i="1"/>
  <c r="D148" i="2" s="1"/>
  <c r="D111" i="1"/>
  <c r="D149" i="2" s="1"/>
  <c r="D112" i="1"/>
  <c r="D150" i="2" s="1"/>
  <c r="D113" i="1"/>
  <c r="D151" i="2" s="1"/>
  <c r="D114" i="1"/>
  <c r="D152" i="2" s="1"/>
  <c r="D115" i="1"/>
  <c r="D153" i="2" s="1"/>
  <c r="D116" i="1"/>
  <c r="D154" i="2" s="1"/>
  <c r="D117" i="1"/>
  <c r="D155" i="2" s="1"/>
  <c r="D118" i="1"/>
  <c r="D156" i="2" s="1"/>
  <c r="D119" i="1"/>
  <c r="D157" i="2" s="1"/>
  <c r="D120" i="1"/>
  <c r="D158" i="2" s="1"/>
  <c r="D121" i="1"/>
  <c r="D159" i="2" s="1"/>
  <c r="D122" i="1"/>
  <c r="D160" i="2" s="1"/>
  <c r="D123" i="1"/>
  <c r="D161" i="2" s="1"/>
  <c r="D124" i="1"/>
  <c r="D162" i="2" s="1"/>
  <c r="D125" i="1"/>
  <c r="D163" i="2" s="1"/>
  <c r="D126" i="1"/>
  <c r="D164" i="2" s="1"/>
  <c r="D127" i="1"/>
  <c r="D165" i="2" s="1"/>
  <c r="D128" i="1"/>
  <c r="D166" i="2" s="1"/>
  <c r="D129" i="1"/>
  <c r="D167" i="2" s="1"/>
  <c r="D130" i="1"/>
  <c r="D168" i="2" s="1"/>
  <c r="D131" i="1"/>
  <c r="D169" i="2" s="1"/>
  <c r="D132" i="1"/>
  <c r="D170" i="2" s="1"/>
  <c r="D133" i="1"/>
  <c r="D171" i="2" s="1"/>
  <c r="D134" i="1"/>
  <c r="D172" i="2" s="1"/>
  <c r="D135" i="1"/>
  <c r="D173" i="2" s="1"/>
  <c r="D136" i="1"/>
  <c r="D174" i="2" s="1"/>
  <c r="D137" i="1"/>
  <c r="D175" i="2" s="1"/>
  <c r="D138" i="1"/>
  <c r="D176" i="2" s="1"/>
  <c r="D139" i="1"/>
  <c r="D177" i="2" s="1"/>
  <c r="D140" i="1"/>
  <c r="D178" i="2" s="1"/>
  <c r="D141" i="1"/>
  <c r="D179" i="2" s="1"/>
  <c r="D142" i="1"/>
  <c r="D180" i="2" s="1"/>
  <c r="D143" i="1"/>
  <c r="D181" i="2" s="1"/>
  <c r="D144" i="1"/>
  <c r="D182" i="2" s="1"/>
  <c r="D145" i="1"/>
  <c r="D183" i="2" s="1"/>
  <c r="D146" i="1"/>
  <c r="D184" i="2" s="1"/>
  <c r="D147" i="1"/>
  <c r="D185" i="2" s="1"/>
  <c r="D148" i="1"/>
  <c r="D186" i="2" s="1"/>
  <c r="D149" i="1"/>
  <c r="D187" i="2" s="1"/>
  <c r="D150" i="1"/>
  <c r="D188" i="2" s="1"/>
  <c r="D151" i="1"/>
  <c r="D189" i="2" s="1"/>
  <c r="D152" i="1"/>
  <c r="D190" i="2" s="1"/>
  <c r="D153" i="1"/>
  <c r="D191" i="2" s="1"/>
  <c r="D154" i="1"/>
  <c r="D192" i="2" s="1"/>
  <c r="D155" i="1"/>
  <c r="D193" i="2" s="1"/>
  <c r="D156" i="1"/>
  <c r="D194" i="2" s="1"/>
  <c r="D157" i="1"/>
  <c r="D195" i="2" s="1"/>
  <c r="D158" i="1"/>
  <c r="D196" i="2" s="1"/>
  <c r="D159" i="1"/>
  <c r="D197" i="2" s="1"/>
  <c r="D160" i="1"/>
  <c r="D198" i="2" s="1"/>
  <c r="D161" i="1"/>
  <c r="D199" i="2" s="1"/>
  <c r="D162" i="1"/>
  <c r="D200" i="2" s="1"/>
  <c r="D163" i="1"/>
  <c r="D201" i="2" s="1"/>
  <c r="D164" i="1"/>
  <c r="D202" i="2" s="1"/>
  <c r="D165" i="1"/>
  <c r="D203" i="2" s="1"/>
  <c r="D166" i="1"/>
  <c r="D204" i="2" s="1"/>
  <c r="D167" i="1"/>
  <c r="D205" i="2" s="1"/>
  <c r="D168" i="1"/>
  <c r="D206" i="2" s="1"/>
  <c r="D169" i="1"/>
  <c r="D207" i="2" s="1"/>
  <c r="D170" i="1"/>
  <c r="D208" i="2" s="1"/>
  <c r="D171" i="1"/>
  <c r="D209" i="2" s="1"/>
  <c r="D172" i="1"/>
  <c r="D210" i="2" s="1"/>
  <c r="D173" i="1"/>
  <c r="D211" i="2" s="1"/>
  <c r="D174" i="1"/>
  <c r="D212" i="2" s="1"/>
  <c r="D175" i="1"/>
  <c r="D213" i="2" s="1"/>
  <c r="D176" i="1"/>
  <c r="D214" i="2" s="1"/>
  <c r="D177" i="1"/>
  <c r="D215" i="2" s="1"/>
  <c r="D178" i="1"/>
  <c r="D216" i="2" s="1"/>
  <c r="D179" i="1"/>
  <c r="D217" i="2" s="1"/>
  <c r="D180" i="1"/>
  <c r="D218" i="2" s="1"/>
  <c r="D181" i="1"/>
  <c r="D219" i="2" s="1"/>
  <c r="D182" i="1"/>
  <c r="D220" i="2" s="1"/>
  <c r="D183" i="1"/>
  <c r="D221" i="2" s="1"/>
  <c r="D184" i="1"/>
  <c r="D222" i="2" s="1"/>
  <c r="D185" i="1"/>
  <c r="D223" i="2" s="1"/>
  <c r="D186" i="1"/>
  <c r="D224" i="2" s="1"/>
  <c r="D187" i="1"/>
  <c r="D225" i="2" s="1"/>
  <c r="D188" i="1"/>
  <c r="D226" i="2" s="1"/>
  <c r="D189" i="1"/>
  <c r="D227" i="2" s="1"/>
  <c r="D190" i="1"/>
  <c r="D228" i="2" s="1"/>
  <c r="D191" i="1"/>
  <c r="D229" i="2" s="1"/>
  <c r="D192" i="1"/>
  <c r="D230" i="2" s="1"/>
  <c r="D193" i="1"/>
  <c r="D231" i="2" s="1"/>
  <c r="D194" i="1"/>
  <c r="D232" i="2" s="1"/>
  <c r="D195" i="1"/>
  <c r="D233" i="2" s="1"/>
  <c r="D196" i="1"/>
  <c r="D234" i="2" s="1"/>
  <c r="D197" i="1"/>
  <c r="D235" i="2" s="1"/>
  <c r="D198" i="1"/>
  <c r="D236" i="2" s="1"/>
  <c r="D199" i="1"/>
  <c r="D237" i="2" s="1"/>
  <c r="D200" i="1"/>
  <c r="D238" i="2" s="1"/>
  <c r="D201" i="1"/>
  <c r="D239" i="2" s="1"/>
  <c r="D202" i="1"/>
  <c r="D240" i="2" s="1"/>
  <c r="D203" i="1"/>
  <c r="D241" i="2" s="1"/>
  <c r="D204" i="1"/>
  <c r="D242" i="2" s="1"/>
  <c r="D205" i="1"/>
  <c r="D243" i="2" s="1"/>
  <c r="D206" i="1"/>
  <c r="D244" i="2" s="1"/>
  <c r="D207" i="1"/>
  <c r="D245" i="2" s="1"/>
  <c r="D208" i="1"/>
  <c r="D246" i="2" s="1"/>
  <c r="D209" i="1"/>
  <c r="D247" i="2" s="1"/>
  <c r="D210" i="1"/>
  <c r="D248" i="2" s="1"/>
  <c r="D211" i="1"/>
  <c r="D249" i="2" s="1"/>
  <c r="D212" i="1"/>
  <c r="D250" i="2" s="1"/>
  <c r="D213" i="1"/>
  <c r="D251" i="2" s="1"/>
  <c r="D214" i="1"/>
  <c r="D252" i="2" s="1"/>
  <c r="D215" i="1"/>
  <c r="D253" i="2" s="1"/>
  <c r="D216" i="1"/>
  <c r="D254" i="2" s="1"/>
  <c r="D217" i="1"/>
  <c r="D255" i="2" s="1"/>
  <c r="D218" i="1"/>
  <c r="D256" i="2" s="1"/>
  <c r="D219" i="1"/>
  <c r="D257" i="2" s="1"/>
  <c r="D220" i="1"/>
  <c r="D258" i="2" s="1"/>
  <c r="D221" i="1"/>
  <c r="D259" i="2" s="1"/>
  <c r="D222" i="1"/>
  <c r="D260" i="2" s="1"/>
  <c r="D223" i="1"/>
  <c r="D261" i="2" s="1"/>
  <c r="D224" i="1"/>
  <c r="D262" i="2" s="1"/>
  <c r="D225" i="1"/>
  <c r="D226" i="1"/>
  <c r="D264" i="2" s="1"/>
  <c r="D227" i="1"/>
  <c r="D265" i="2" s="1"/>
  <c r="D8" i="1"/>
  <c r="D46" i="2" s="1"/>
  <c r="E8" i="1"/>
  <c r="J265" i="2"/>
  <c r="I265" i="2"/>
  <c r="F265" i="2"/>
  <c r="C265" i="2"/>
  <c r="B265" i="2"/>
  <c r="A265" i="2"/>
  <c r="J264" i="2"/>
  <c r="I264" i="2"/>
  <c r="F264" i="2"/>
  <c r="C264" i="2"/>
  <c r="B264" i="2"/>
  <c r="A264" i="2"/>
  <c r="J263" i="2"/>
  <c r="I263" i="2"/>
  <c r="F263" i="2"/>
  <c r="C263" i="2"/>
  <c r="B263" i="2"/>
  <c r="A263" i="2"/>
  <c r="J262" i="2"/>
  <c r="I262" i="2"/>
  <c r="F262" i="2"/>
  <c r="C262" i="2"/>
  <c r="B262" i="2"/>
  <c r="A262" i="2"/>
  <c r="J261" i="2"/>
  <c r="I261" i="2"/>
  <c r="F261" i="2"/>
  <c r="C261" i="2"/>
  <c r="B261" i="2"/>
  <c r="A261" i="2"/>
  <c r="J260" i="2"/>
  <c r="I260" i="2"/>
  <c r="F260" i="2"/>
  <c r="C260" i="2"/>
  <c r="B260" i="2"/>
  <c r="A260" i="2"/>
  <c r="J259" i="2"/>
  <c r="I259" i="2"/>
  <c r="F259" i="2"/>
  <c r="C259" i="2"/>
  <c r="B259" i="2"/>
  <c r="A259" i="2"/>
  <c r="J258" i="2"/>
  <c r="I258" i="2"/>
  <c r="F258" i="2"/>
  <c r="C258" i="2"/>
  <c r="B258" i="2"/>
  <c r="A258" i="2"/>
  <c r="J257" i="2"/>
  <c r="I257" i="2"/>
  <c r="F257" i="2"/>
  <c r="C257" i="2"/>
  <c r="B257" i="2"/>
  <c r="A257" i="2"/>
  <c r="J256" i="2"/>
  <c r="I256" i="2"/>
  <c r="F256" i="2"/>
  <c r="C256" i="2"/>
  <c r="B256" i="2"/>
  <c r="A256" i="2"/>
  <c r="J255" i="2"/>
  <c r="I255" i="2"/>
  <c r="F255" i="2"/>
  <c r="C255" i="2"/>
  <c r="B255" i="2"/>
  <c r="A255" i="2"/>
  <c r="J254" i="2"/>
  <c r="I254" i="2"/>
  <c r="F254" i="2"/>
  <c r="C254" i="2"/>
  <c r="B254" i="2"/>
  <c r="A254" i="2"/>
  <c r="J253" i="2"/>
  <c r="I253" i="2"/>
  <c r="F253" i="2"/>
  <c r="C253" i="2"/>
  <c r="B253" i="2"/>
  <c r="A253" i="2"/>
  <c r="J252" i="2"/>
  <c r="I252" i="2"/>
  <c r="F252" i="2"/>
  <c r="C252" i="2"/>
  <c r="B252" i="2"/>
  <c r="A252" i="2"/>
  <c r="J251" i="2"/>
  <c r="I251" i="2"/>
  <c r="F251" i="2"/>
  <c r="C251" i="2"/>
  <c r="B251" i="2"/>
  <c r="A251" i="2"/>
  <c r="J250" i="2"/>
  <c r="I250" i="2"/>
  <c r="F250" i="2"/>
  <c r="C250" i="2"/>
  <c r="B250" i="2"/>
  <c r="A250" i="2"/>
  <c r="J249" i="2"/>
  <c r="I249" i="2"/>
  <c r="F249" i="2"/>
  <c r="C249" i="2"/>
  <c r="B249" i="2"/>
  <c r="A249" i="2"/>
  <c r="J248" i="2"/>
  <c r="I248" i="2"/>
  <c r="F248" i="2"/>
  <c r="C248" i="2"/>
  <c r="B248" i="2"/>
  <c r="A248" i="2"/>
  <c r="J247" i="2"/>
  <c r="I247" i="2"/>
  <c r="F247" i="2"/>
  <c r="C247" i="2"/>
  <c r="B247" i="2"/>
  <c r="A247" i="2"/>
  <c r="J246" i="2"/>
  <c r="I246" i="2"/>
  <c r="F246" i="2"/>
  <c r="C246" i="2"/>
  <c r="B246" i="2"/>
  <c r="A246" i="2"/>
  <c r="J245" i="2"/>
  <c r="I245" i="2"/>
  <c r="F245" i="2"/>
  <c r="C245" i="2"/>
  <c r="B245" i="2"/>
  <c r="A245" i="2"/>
  <c r="J244" i="2"/>
  <c r="I244" i="2"/>
  <c r="F244" i="2"/>
  <c r="C244" i="2"/>
  <c r="B244" i="2"/>
  <c r="A244" i="2"/>
  <c r="J243" i="2"/>
  <c r="I243" i="2"/>
  <c r="F243" i="2"/>
  <c r="C243" i="2"/>
  <c r="B243" i="2"/>
  <c r="A243" i="2"/>
  <c r="J242" i="2"/>
  <c r="I242" i="2"/>
  <c r="F242" i="2"/>
  <c r="C242" i="2"/>
  <c r="B242" i="2"/>
  <c r="A242" i="2"/>
  <c r="J241" i="2"/>
  <c r="I241" i="2"/>
  <c r="F241" i="2"/>
  <c r="C241" i="2"/>
  <c r="B241" i="2"/>
  <c r="A241" i="2"/>
  <c r="J240" i="2"/>
  <c r="I240" i="2"/>
  <c r="F240" i="2"/>
  <c r="C240" i="2"/>
  <c r="B240" i="2"/>
  <c r="A240" i="2"/>
  <c r="J239" i="2"/>
  <c r="I239" i="2"/>
  <c r="F239" i="2"/>
  <c r="C239" i="2"/>
  <c r="B239" i="2"/>
  <c r="A239" i="2"/>
  <c r="J238" i="2"/>
  <c r="I238" i="2"/>
  <c r="F238" i="2"/>
  <c r="C238" i="2"/>
  <c r="B238" i="2"/>
  <c r="A238" i="2"/>
  <c r="J237" i="2"/>
  <c r="I237" i="2"/>
  <c r="F237" i="2"/>
  <c r="C237" i="2"/>
  <c r="B237" i="2"/>
  <c r="A237" i="2"/>
  <c r="J236" i="2"/>
  <c r="I236" i="2"/>
  <c r="F236" i="2"/>
  <c r="C236" i="2"/>
  <c r="B236" i="2"/>
  <c r="A236" i="2"/>
  <c r="J235" i="2"/>
  <c r="I235" i="2"/>
  <c r="F235" i="2"/>
  <c r="C235" i="2"/>
  <c r="B235" i="2"/>
  <c r="A235" i="2"/>
  <c r="J234" i="2"/>
  <c r="I234" i="2"/>
  <c r="F234" i="2"/>
  <c r="C234" i="2"/>
  <c r="B234" i="2"/>
  <c r="A234" i="2"/>
  <c r="J233" i="2"/>
  <c r="I233" i="2"/>
  <c r="F233" i="2"/>
  <c r="C233" i="2"/>
  <c r="B233" i="2"/>
  <c r="A233" i="2"/>
  <c r="J232" i="2"/>
  <c r="I232" i="2"/>
  <c r="F232" i="2"/>
  <c r="C232" i="2"/>
  <c r="B232" i="2"/>
  <c r="A232" i="2"/>
  <c r="J231" i="2"/>
  <c r="I231" i="2"/>
  <c r="F231" i="2"/>
  <c r="C231" i="2"/>
  <c r="B231" i="2"/>
  <c r="A231" i="2"/>
  <c r="J230" i="2"/>
  <c r="I230" i="2"/>
  <c r="F230" i="2"/>
  <c r="C230" i="2"/>
  <c r="B230" i="2"/>
  <c r="A230" i="2"/>
  <c r="J229" i="2"/>
  <c r="I229" i="2"/>
  <c r="F229" i="2"/>
  <c r="C229" i="2"/>
  <c r="B229" i="2"/>
  <c r="A229" i="2"/>
  <c r="J228" i="2"/>
  <c r="I228" i="2"/>
  <c r="F228" i="2"/>
  <c r="C228" i="2"/>
  <c r="B228" i="2"/>
  <c r="A228" i="2"/>
  <c r="J227" i="2"/>
  <c r="I227" i="2"/>
  <c r="F227" i="2"/>
  <c r="C227" i="2"/>
  <c r="B227" i="2"/>
  <c r="A227" i="2"/>
  <c r="J226" i="2"/>
  <c r="I226" i="2"/>
  <c r="F226" i="2"/>
  <c r="C226" i="2"/>
  <c r="B226" i="2"/>
  <c r="A226" i="2"/>
  <c r="J225" i="2"/>
  <c r="I225" i="2"/>
  <c r="F225" i="2"/>
  <c r="C225" i="2"/>
  <c r="B225" i="2"/>
  <c r="A225" i="2"/>
  <c r="J224" i="2"/>
  <c r="I224" i="2"/>
  <c r="F224" i="2"/>
  <c r="C224" i="2"/>
  <c r="B224" i="2"/>
  <c r="A224" i="2"/>
  <c r="J223" i="2"/>
  <c r="I223" i="2"/>
  <c r="F223" i="2"/>
  <c r="C223" i="2"/>
  <c r="B223" i="2"/>
  <c r="A223" i="2"/>
  <c r="J222" i="2"/>
  <c r="I222" i="2"/>
  <c r="F222" i="2"/>
  <c r="C222" i="2"/>
  <c r="B222" i="2"/>
  <c r="A222" i="2"/>
  <c r="J221" i="2"/>
  <c r="I221" i="2"/>
  <c r="F221" i="2"/>
  <c r="C221" i="2"/>
  <c r="B221" i="2"/>
  <c r="A221" i="2"/>
  <c r="J220" i="2"/>
  <c r="I220" i="2"/>
  <c r="F220" i="2"/>
  <c r="C220" i="2"/>
  <c r="B220" i="2"/>
  <c r="A220" i="2"/>
  <c r="J219" i="2"/>
  <c r="I219" i="2"/>
  <c r="F219" i="2"/>
  <c r="C219" i="2"/>
  <c r="B219" i="2"/>
  <c r="A219" i="2"/>
  <c r="J218" i="2"/>
  <c r="I218" i="2"/>
  <c r="F218" i="2"/>
  <c r="C218" i="2"/>
  <c r="B218" i="2"/>
  <c r="A218" i="2"/>
  <c r="J217" i="2"/>
  <c r="I217" i="2"/>
  <c r="F217" i="2"/>
  <c r="C217" i="2"/>
  <c r="B217" i="2"/>
  <c r="A217" i="2"/>
  <c r="J216" i="2"/>
  <c r="I216" i="2"/>
  <c r="F216" i="2"/>
  <c r="C216" i="2"/>
  <c r="B216" i="2"/>
  <c r="A216" i="2"/>
  <c r="J215" i="2"/>
  <c r="I215" i="2"/>
  <c r="F215" i="2"/>
  <c r="C215" i="2"/>
  <c r="B215" i="2"/>
  <c r="A215" i="2"/>
  <c r="J214" i="2"/>
  <c r="I214" i="2"/>
  <c r="F214" i="2"/>
  <c r="C214" i="2"/>
  <c r="B214" i="2"/>
  <c r="A214" i="2"/>
  <c r="J213" i="2"/>
  <c r="I213" i="2"/>
  <c r="F213" i="2"/>
  <c r="C213" i="2"/>
  <c r="B213" i="2"/>
  <c r="A213" i="2"/>
  <c r="J212" i="2"/>
  <c r="I212" i="2"/>
  <c r="F212" i="2"/>
  <c r="C212" i="2"/>
  <c r="B212" i="2"/>
  <c r="A212" i="2"/>
  <c r="J211" i="2"/>
  <c r="I211" i="2"/>
  <c r="F211" i="2"/>
  <c r="C211" i="2"/>
  <c r="B211" i="2"/>
  <c r="A211" i="2"/>
  <c r="J210" i="2"/>
  <c r="I210" i="2"/>
  <c r="F210" i="2"/>
  <c r="C210" i="2"/>
  <c r="B210" i="2"/>
  <c r="A210" i="2"/>
  <c r="J209" i="2"/>
  <c r="I209" i="2"/>
  <c r="F209" i="2"/>
  <c r="C209" i="2"/>
  <c r="B209" i="2"/>
  <c r="A209" i="2"/>
  <c r="J208" i="2"/>
  <c r="I208" i="2"/>
  <c r="F208" i="2"/>
  <c r="C208" i="2"/>
  <c r="B208" i="2"/>
  <c r="A208" i="2"/>
  <c r="J207" i="2"/>
  <c r="I207" i="2"/>
  <c r="F207" i="2"/>
  <c r="C207" i="2"/>
  <c r="B207" i="2"/>
  <c r="A207" i="2"/>
  <c r="J206" i="2"/>
  <c r="I206" i="2"/>
  <c r="F206" i="2"/>
  <c r="C206" i="2"/>
  <c r="B206" i="2"/>
  <c r="A206" i="2"/>
  <c r="J205" i="2"/>
  <c r="I205" i="2"/>
  <c r="F205" i="2"/>
  <c r="C205" i="2"/>
  <c r="B205" i="2"/>
  <c r="A205" i="2"/>
  <c r="J204" i="2"/>
  <c r="I204" i="2"/>
  <c r="F204" i="2"/>
  <c r="C204" i="2"/>
  <c r="B204" i="2"/>
  <c r="A204" i="2"/>
  <c r="J203" i="2"/>
  <c r="I203" i="2"/>
  <c r="F203" i="2"/>
  <c r="C203" i="2"/>
  <c r="B203" i="2"/>
  <c r="A203" i="2"/>
  <c r="J202" i="2"/>
  <c r="I202" i="2"/>
  <c r="F202" i="2"/>
  <c r="C202" i="2"/>
  <c r="B202" i="2"/>
  <c r="A202" i="2"/>
  <c r="J201" i="2"/>
  <c r="I201" i="2"/>
  <c r="F201" i="2"/>
  <c r="C201" i="2"/>
  <c r="B201" i="2"/>
  <c r="A201" i="2"/>
  <c r="J200" i="2"/>
  <c r="I200" i="2"/>
  <c r="F200" i="2"/>
  <c r="C200" i="2"/>
  <c r="B200" i="2"/>
  <c r="A200" i="2"/>
  <c r="J199" i="2"/>
  <c r="I199" i="2"/>
  <c r="F199" i="2"/>
  <c r="C199" i="2"/>
  <c r="B199" i="2"/>
  <c r="A199" i="2"/>
  <c r="J198" i="2"/>
  <c r="I198" i="2"/>
  <c r="F198" i="2"/>
  <c r="C198" i="2"/>
  <c r="B198" i="2"/>
  <c r="A198" i="2"/>
  <c r="J197" i="2"/>
  <c r="I197" i="2"/>
  <c r="F197" i="2"/>
  <c r="C197" i="2"/>
  <c r="B197" i="2"/>
  <c r="A197" i="2"/>
  <c r="J196" i="2"/>
  <c r="I196" i="2"/>
  <c r="F196" i="2"/>
  <c r="C196" i="2"/>
  <c r="B196" i="2"/>
  <c r="A196" i="2"/>
  <c r="J195" i="2"/>
  <c r="I195" i="2"/>
  <c r="F195" i="2"/>
  <c r="C195" i="2"/>
  <c r="B195" i="2"/>
  <c r="A195" i="2"/>
  <c r="J194" i="2"/>
  <c r="I194" i="2"/>
  <c r="F194" i="2"/>
  <c r="C194" i="2"/>
  <c r="B194" i="2"/>
  <c r="A194" i="2"/>
  <c r="J193" i="2"/>
  <c r="I193" i="2"/>
  <c r="F193" i="2"/>
  <c r="C193" i="2"/>
  <c r="B193" i="2"/>
  <c r="A193" i="2"/>
  <c r="J192" i="2"/>
  <c r="I192" i="2"/>
  <c r="F192" i="2"/>
  <c r="C192" i="2"/>
  <c r="B192" i="2"/>
  <c r="A192" i="2"/>
  <c r="J191" i="2"/>
  <c r="I191" i="2"/>
  <c r="F191" i="2"/>
  <c r="C191" i="2"/>
  <c r="B191" i="2"/>
  <c r="A191" i="2"/>
  <c r="J190" i="2"/>
  <c r="I190" i="2"/>
  <c r="F190" i="2"/>
  <c r="C190" i="2"/>
  <c r="B190" i="2"/>
  <c r="A190" i="2"/>
  <c r="J189" i="2"/>
  <c r="I189" i="2"/>
  <c r="F189" i="2"/>
  <c r="C189" i="2"/>
  <c r="B189" i="2"/>
  <c r="A189" i="2"/>
  <c r="J188" i="2"/>
  <c r="I188" i="2"/>
  <c r="F188" i="2"/>
  <c r="C188" i="2"/>
  <c r="B188" i="2"/>
  <c r="A188" i="2"/>
  <c r="J187" i="2"/>
  <c r="I187" i="2"/>
  <c r="F187" i="2"/>
  <c r="C187" i="2"/>
  <c r="B187" i="2"/>
  <c r="A187" i="2"/>
  <c r="J186" i="2"/>
  <c r="I186" i="2"/>
  <c r="F186" i="2"/>
  <c r="C186" i="2"/>
  <c r="B186" i="2"/>
  <c r="A186" i="2"/>
  <c r="J185" i="2"/>
  <c r="I185" i="2"/>
  <c r="F185" i="2"/>
  <c r="C185" i="2"/>
  <c r="B185" i="2"/>
  <c r="A185" i="2"/>
  <c r="J184" i="2"/>
  <c r="I184" i="2"/>
  <c r="F184" i="2"/>
  <c r="C184" i="2"/>
  <c r="B184" i="2"/>
  <c r="A184" i="2"/>
  <c r="J183" i="2"/>
  <c r="I183" i="2"/>
  <c r="F183" i="2"/>
  <c r="C183" i="2"/>
  <c r="B183" i="2"/>
  <c r="A183" i="2"/>
  <c r="J182" i="2"/>
  <c r="I182" i="2"/>
  <c r="F182" i="2"/>
  <c r="C182" i="2"/>
  <c r="B182" i="2"/>
  <c r="A182" i="2"/>
  <c r="J181" i="2"/>
  <c r="I181" i="2"/>
  <c r="F181" i="2"/>
  <c r="C181" i="2"/>
  <c r="B181" i="2"/>
  <c r="A181" i="2"/>
  <c r="J180" i="2"/>
  <c r="I180" i="2"/>
  <c r="F180" i="2"/>
  <c r="C180" i="2"/>
  <c r="B180" i="2"/>
  <c r="A180" i="2"/>
  <c r="J179" i="2"/>
  <c r="I179" i="2"/>
  <c r="F179" i="2"/>
  <c r="C179" i="2"/>
  <c r="B179" i="2"/>
  <c r="A179" i="2"/>
  <c r="J178" i="2"/>
  <c r="I178" i="2"/>
  <c r="F178" i="2"/>
  <c r="C178" i="2"/>
  <c r="B178" i="2"/>
  <c r="A178" i="2"/>
  <c r="J177" i="2"/>
  <c r="I177" i="2"/>
  <c r="F177" i="2"/>
  <c r="C177" i="2"/>
  <c r="B177" i="2"/>
  <c r="A177" i="2"/>
  <c r="J176" i="2"/>
  <c r="I176" i="2"/>
  <c r="F176" i="2"/>
  <c r="C176" i="2"/>
  <c r="B176" i="2"/>
  <c r="A176" i="2"/>
  <c r="J175" i="2"/>
  <c r="I175" i="2"/>
  <c r="F175" i="2"/>
  <c r="C175" i="2"/>
  <c r="B175" i="2"/>
  <c r="A175" i="2"/>
  <c r="J174" i="2"/>
  <c r="I174" i="2"/>
  <c r="F174" i="2"/>
  <c r="C174" i="2"/>
  <c r="B174" i="2"/>
  <c r="A174" i="2"/>
  <c r="J173" i="2"/>
  <c r="I173" i="2"/>
  <c r="F173" i="2"/>
  <c r="C173" i="2"/>
  <c r="B173" i="2"/>
  <c r="A173" i="2"/>
  <c r="J172" i="2"/>
  <c r="I172" i="2"/>
  <c r="F172" i="2"/>
  <c r="C172" i="2"/>
  <c r="B172" i="2"/>
  <c r="A172" i="2"/>
  <c r="J171" i="2"/>
  <c r="I171" i="2"/>
  <c r="F171" i="2"/>
  <c r="C171" i="2"/>
  <c r="B171" i="2"/>
  <c r="A171" i="2"/>
  <c r="J170" i="2"/>
  <c r="I170" i="2"/>
  <c r="F170" i="2"/>
  <c r="C170" i="2"/>
  <c r="B170" i="2"/>
  <c r="A170" i="2"/>
  <c r="J169" i="2"/>
  <c r="I169" i="2"/>
  <c r="F169" i="2"/>
  <c r="C169" i="2"/>
  <c r="B169" i="2"/>
  <c r="A169" i="2"/>
  <c r="J168" i="2"/>
  <c r="I168" i="2"/>
  <c r="F168" i="2"/>
  <c r="C168" i="2"/>
  <c r="B168" i="2"/>
  <c r="A168" i="2"/>
  <c r="J167" i="2"/>
  <c r="I167" i="2"/>
  <c r="F167" i="2"/>
  <c r="C167" i="2"/>
  <c r="B167" i="2"/>
  <c r="A167" i="2"/>
  <c r="J166" i="2"/>
  <c r="I166" i="2"/>
  <c r="F166" i="2"/>
  <c r="C166" i="2"/>
  <c r="B166" i="2"/>
  <c r="A166" i="2"/>
  <c r="J165" i="2"/>
  <c r="I165" i="2"/>
  <c r="F165" i="2"/>
  <c r="C165" i="2"/>
  <c r="B165" i="2"/>
  <c r="A165" i="2"/>
  <c r="J164" i="2"/>
  <c r="I164" i="2"/>
  <c r="F164" i="2"/>
  <c r="C164" i="2"/>
  <c r="B164" i="2"/>
  <c r="A164" i="2"/>
  <c r="J163" i="2"/>
  <c r="I163" i="2"/>
  <c r="F163" i="2"/>
  <c r="C163" i="2"/>
  <c r="B163" i="2"/>
  <c r="A163" i="2"/>
  <c r="J162" i="2"/>
  <c r="I162" i="2"/>
  <c r="F162" i="2"/>
  <c r="C162" i="2"/>
  <c r="B162" i="2"/>
  <c r="A162" i="2"/>
  <c r="J161" i="2"/>
  <c r="I161" i="2"/>
  <c r="F161" i="2"/>
  <c r="C161" i="2"/>
  <c r="B161" i="2"/>
  <c r="A161" i="2"/>
  <c r="J160" i="2"/>
  <c r="I160" i="2"/>
  <c r="F160" i="2"/>
  <c r="C160" i="2"/>
  <c r="B160" i="2"/>
  <c r="A160" i="2"/>
  <c r="J159" i="2"/>
  <c r="I159" i="2"/>
  <c r="F159" i="2"/>
  <c r="C159" i="2"/>
  <c r="B159" i="2"/>
  <c r="A159" i="2"/>
  <c r="J158" i="2"/>
  <c r="I158" i="2"/>
  <c r="F158" i="2"/>
  <c r="C158" i="2"/>
  <c r="B158" i="2"/>
  <c r="A158" i="2"/>
  <c r="J157" i="2"/>
  <c r="I157" i="2"/>
  <c r="F157" i="2"/>
  <c r="C157" i="2"/>
  <c r="B157" i="2"/>
  <c r="A157" i="2"/>
  <c r="J156" i="2"/>
  <c r="I156" i="2"/>
  <c r="F156" i="2"/>
  <c r="C156" i="2"/>
  <c r="B156" i="2"/>
  <c r="A156" i="2"/>
  <c r="J155" i="2"/>
  <c r="I155" i="2"/>
  <c r="F155" i="2"/>
  <c r="C155" i="2"/>
  <c r="B155" i="2"/>
  <c r="A155" i="2"/>
  <c r="J154" i="2"/>
  <c r="I154" i="2"/>
  <c r="F154" i="2"/>
  <c r="C154" i="2"/>
  <c r="B154" i="2"/>
  <c r="A154" i="2"/>
  <c r="J153" i="2"/>
  <c r="I153" i="2"/>
  <c r="F153" i="2"/>
  <c r="C153" i="2"/>
  <c r="B153" i="2"/>
  <c r="A153" i="2"/>
  <c r="J152" i="2"/>
  <c r="I152" i="2"/>
  <c r="F152" i="2"/>
  <c r="C152" i="2"/>
  <c r="B152" i="2"/>
  <c r="A152" i="2"/>
  <c r="J151" i="2"/>
  <c r="I151" i="2"/>
  <c r="F151" i="2"/>
  <c r="C151" i="2"/>
  <c r="B151" i="2"/>
  <c r="A151" i="2"/>
  <c r="J150" i="2"/>
  <c r="I150" i="2"/>
  <c r="F150" i="2"/>
  <c r="C150" i="2"/>
  <c r="B150" i="2"/>
  <c r="A150" i="2"/>
  <c r="J149" i="2"/>
  <c r="I149" i="2"/>
  <c r="F149" i="2"/>
  <c r="C149" i="2"/>
  <c r="B149" i="2"/>
  <c r="A149" i="2"/>
  <c r="J148" i="2"/>
  <c r="I148" i="2"/>
  <c r="F148" i="2"/>
  <c r="C148" i="2"/>
  <c r="B148" i="2"/>
  <c r="A148" i="2"/>
  <c r="J147" i="2"/>
  <c r="I147" i="2"/>
  <c r="F147" i="2"/>
  <c r="C147" i="2"/>
  <c r="B147" i="2"/>
  <c r="A147" i="2"/>
  <c r="J146" i="2"/>
  <c r="I146" i="2"/>
  <c r="F146" i="2"/>
  <c r="C146" i="2"/>
  <c r="B146" i="2"/>
  <c r="A146" i="2"/>
  <c r="J145" i="2"/>
  <c r="I145" i="2"/>
  <c r="F145" i="2"/>
  <c r="C145" i="2"/>
  <c r="B145" i="2"/>
  <c r="A145" i="2"/>
  <c r="J144" i="2"/>
  <c r="I144" i="2"/>
  <c r="F144" i="2"/>
  <c r="C144" i="2"/>
  <c r="B144" i="2"/>
  <c r="A144" i="2"/>
  <c r="J143" i="2"/>
  <c r="I143" i="2"/>
  <c r="F143" i="2"/>
  <c r="C143" i="2"/>
  <c r="B143" i="2"/>
  <c r="A143" i="2"/>
  <c r="J142" i="2"/>
  <c r="I142" i="2"/>
  <c r="F142" i="2"/>
  <c r="C142" i="2"/>
  <c r="B142" i="2"/>
  <c r="A142" i="2"/>
  <c r="J141" i="2"/>
  <c r="I141" i="2"/>
  <c r="F141" i="2"/>
  <c r="C141" i="2"/>
  <c r="B141" i="2"/>
  <c r="A141" i="2"/>
  <c r="J140" i="2"/>
  <c r="I140" i="2"/>
  <c r="F140" i="2"/>
  <c r="C140" i="2"/>
  <c r="B140" i="2"/>
  <c r="A140" i="2"/>
  <c r="J139" i="2"/>
  <c r="I139" i="2"/>
  <c r="F139" i="2"/>
  <c r="C139" i="2"/>
  <c r="B139" i="2"/>
  <c r="A139" i="2"/>
  <c r="J138" i="2"/>
  <c r="I138" i="2"/>
  <c r="F138" i="2"/>
  <c r="C138" i="2"/>
  <c r="B138" i="2"/>
  <c r="A138" i="2"/>
  <c r="J137" i="2"/>
  <c r="I137" i="2"/>
  <c r="F137" i="2"/>
  <c r="C137" i="2"/>
  <c r="B137" i="2"/>
  <c r="A137" i="2"/>
  <c r="J136" i="2"/>
  <c r="I136" i="2"/>
  <c r="F136" i="2"/>
  <c r="C136" i="2"/>
  <c r="B136" i="2"/>
  <c r="A136" i="2"/>
  <c r="J135" i="2"/>
  <c r="I135" i="2"/>
  <c r="F135" i="2"/>
  <c r="C135" i="2"/>
  <c r="B135" i="2"/>
  <c r="A135" i="2"/>
  <c r="J134" i="2"/>
  <c r="I134" i="2"/>
  <c r="F134" i="2"/>
  <c r="C134" i="2"/>
  <c r="B134" i="2"/>
  <c r="A134" i="2"/>
  <c r="J133" i="2"/>
  <c r="I133" i="2"/>
  <c r="F133" i="2"/>
  <c r="C133" i="2"/>
  <c r="B133" i="2"/>
  <c r="A133" i="2"/>
  <c r="J132" i="2"/>
  <c r="I132" i="2"/>
  <c r="F132" i="2"/>
  <c r="C132" i="2"/>
  <c r="B132" i="2"/>
  <c r="A132" i="2"/>
  <c r="J131" i="2"/>
  <c r="I131" i="2"/>
  <c r="F131" i="2"/>
  <c r="C131" i="2"/>
  <c r="B131" i="2"/>
  <c r="A131" i="2"/>
  <c r="J130" i="2"/>
  <c r="I130" i="2"/>
  <c r="F130" i="2"/>
  <c r="C130" i="2"/>
  <c r="B130" i="2"/>
  <c r="A130" i="2"/>
  <c r="J129" i="2"/>
  <c r="I129" i="2"/>
  <c r="F129" i="2"/>
  <c r="C129" i="2"/>
  <c r="B129" i="2"/>
  <c r="A129" i="2"/>
  <c r="J128" i="2"/>
  <c r="I128" i="2"/>
  <c r="F128" i="2"/>
  <c r="C128" i="2"/>
  <c r="B128" i="2"/>
  <c r="A128" i="2"/>
  <c r="J127" i="2"/>
  <c r="I127" i="2"/>
  <c r="F127" i="2"/>
  <c r="C127" i="2"/>
  <c r="B127" i="2"/>
  <c r="A127" i="2"/>
  <c r="J126" i="2"/>
  <c r="I126" i="2"/>
  <c r="F126" i="2"/>
  <c r="C126" i="2"/>
  <c r="B126" i="2"/>
  <c r="A126" i="2"/>
  <c r="J125" i="2"/>
  <c r="I125" i="2"/>
  <c r="F125" i="2"/>
  <c r="C125" i="2"/>
  <c r="B125" i="2"/>
  <c r="A125" i="2"/>
  <c r="J124" i="2"/>
  <c r="I124" i="2"/>
  <c r="F124" i="2"/>
  <c r="C124" i="2"/>
  <c r="B124" i="2"/>
  <c r="A124" i="2"/>
  <c r="J123" i="2"/>
  <c r="I123" i="2"/>
  <c r="F123" i="2"/>
  <c r="C123" i="2"/>
  <c r="B123" i="2"/>
  <c r="A123" i="2"/>
  <c r="J122" i="2"/>
  <c r="I122" i="2"/>
  <c r="F122" i="2"/>
  <c r="C122" i="2"/>
  <c r="B122" i="2"/>
  <c r="A122" i="2"/>
  <c r="J121" i="2"/>
  <c r="I121" i="2"/>
  <c r="F121" i="2"/>
  <c r="C121" i="2"/>
  <c r="B121" i="2"/>
  <c r="A121" i="2"/>
  <c r="J120" i="2"/>
  <c r="I120" i="2"/>
  <c r="F120" i="2"/>
  <c r="C120" i="2"/>
  <c r="B120" i="2"/>
  <c r="A120" i="2"/>
  <c r="J119" i="2"/>
  <c r="I119" i="2"/>
  <c r="F119" i="2"/>
  <c r="C119" i="2"/>
  <c r="B119" i="2"/>
  <c r="A119" i="2"/>
  <c r="J118" i="2"/>
  <c r="I118" i="2"/>
  <c r="F118" i="2"/>
  <c r="C118" i="2"/>
  <c r="B118" i="2"/>
  <c r="A118" i="2"/>
  <c r="J117" i="2"/>
  <c r="I117" i="2"/>
  <c r="F117" i="2"/>
  <c r="C117" i="2"/>
  <c r="B117" i="2"/>
  <c r="A117" i="2"/>
  <c r="J116" i="2"/>
  <c r="I116" i="2"/>
  <c r="F116" i="2"/>
  <c r="C116" i="2"/>
  <c r="B116" i="2"/>
  <c r="A116" i="2"/>
  <c r="J115" i="2"/>
  <c r="I115" i="2"/>
  <c r="F115" i="2"/>
  <c r="C115" i="2"/>
  <c r="B115" i="2"/>
  <c r="A115" i="2"/>
  <c r="J114" i="2"/>
  <c r="I114" i="2"/>
  <c r="F114" i="2"/>
  <c r="C114" i="2"/>
  <c r="B114" i="2"/>
  <c r="A114" i="2"/>
  <c r="J113" i="2"/>
  <c r="I113" i="2"/>
  <c r="F113" i="2"/>
  <c r="C113" i="2"/>
  <c r="B113" i="2"/>
  <c r="A113" i="2"/>
  <c r="J112" i="2"/>
  <c r="I112" i="2"/>
  <c r="F112" i="2"/>
  <c r="C112" i="2"/>
  <c r="B112" i="2"/>
  <c r="A112" i="2"/>
  <c r="J111" i="2"/>
  <c r="I111" i="2"/>
  <c r="F111" i="2"/>
  <c r="C111" i="2"/>
  <c r="B111" i="2"/>
  <c r="A111" i="2"/>
  <c r="J110" i="2"/>
  <c r="I110" i="2"/>
  <c r="F110" i="2"/>
  <c r="C110" i="2"/>
  <c r="B110" i="2"/>
  <c r="A110" i="2"/>
  <c r="J109" i="2"/>
  <c r="I109" i="2"/>
  <c r="F109" i="2"/>
  <c r="C109" i="2"/>
  <c r="B109" i="2"/>
  <c r="A109" i="2"/>
  <c r="J108" i="2"/>
  <c r="I108" i="2"/>
  <c r="F108" i="2"/>
  <c r="C108" i="2"/>
  <c r="B108" i="2"/>
  <c r="A108" i="2"/>
  <c r="J107" i="2"/>
  <c r="I107" i="2"/>
  <c r="F107" i="2"/>
  <c r="C107" i="2"/>
  <c r="B107" i="2"/>
  <c r="A107" i="2"/>
  <c r="J106" i="2"/>
  <c r="I106" i="2"/>
  <c r="F106" i="2"/>
  <c r="C106" i="2"/>
  <c r="B106" i="2"/>
  <c r="A106" i="2"/>
  <c r="J105" i="2"/>
  <c r="I105" i="2"/>
  <c r="F105" i="2"/>
  <c r="C105" i="2"/>
  <c r="B105" i="2"/>
  <c r="A105" i="2"/>
  <c r="J104" i="2"/>
  <c r="I104" i="2"/>
  <c r="F104" i="2"/>
  <c r="C104" i="2"/>
  <c r="B104" i="2"/>
  <c r="A104" i="2"/>
  <c r="J103" i="2"/>
  <c r="I103" i="2"/>
  <c r="F103" i="2"/>
  <c r="C103" i="2"/>
  <c r="B103" i="2"/>
  <c r="A103" i="2"/>
  <c r="J102" i="2"/>
  <c r="I102" i="2"/>
  <c r="F102" i="2"/>
  <c r="C102" i="2"/>
  <c r="B102" i="2"/>
  <c r="A102" i="2"/>
  <c r="J101" i="2"/>
  <c r="I101" i="2"/>
  <c r="F101" i="2"/>
  <c r="C101" i="2"/>
  <c r="B101" i="2"/>
  <c r="A101" i="2"/>
  <c r="J100" i="2"/>
  <c r="I100" i="2"/>
  <c r="F100" i="2"/>
  <c r="C100" i="2"/>
  <c r="B100" i="2"/>
  <c r="A100" i="2"/>
  <c r="J99" i="2"/>
  <c r="I99" i="2"/>
  <c r="F99" i="2"/>
  <c r="C99" i="2"/>
  <c r="B99" i="2"/>
  <c r="A99" i="2"/>
  <c r="J98" i="2"/>
  <c r="I98" i="2"/>
  <c r="F98" i="2"/>
  <c r="C98" i="2"/>
  <c r="B98" i="2"/>
  <c r="A98" i="2"/>
  <c r="J97" i="2"/>
  <c r="I97" i="2"/>
  <c r="F97" i="2"/>
  <c r="C97" i="2"/>
  <c r="B97" i="2"/>
  <c r="A97" i="2"/>
  <c r="J96" i="2"/>
  <c r="I96" i="2"/>
  <c r="F96" i="2"/>
  <c r="C96" i="2"/>
  <c r="B96" i="2"/>
  <c r="A96" i="2"/>
  <c r="J95" i="2"/>
  <c r="I95" i="2"/>
  <c r="F95" i="2"/>
  <c r="C95" i="2"/>
  <c r="B95" i="2"/>
  <c r="A95" i="2"/>
  <c r="J94" i="2"/>
  <c r="I94" i="2"/>
  <c r="F94" i="2"/>
  <c r="C94" i="2"/>
  <c r="B94" i="2"/>
  <c r="A94" i="2"/>
  <c r="J93" i="2"/>
  <c r="I93" i="2"/>
  <c r="F93" i="2"/>
  <c r="C93" i="2"/>
  <c r="B93" i="2"/>
  <c r="A93" i="2"/>
  <c r="J92" i="2"/>
  <c r="I92" i="2"/>
  <c r="F92" i="2"/>
  <c r="C92" i="2"/>
  <c r="B92" i="2"/>
  <c r="A92" i="2"/>
  <c r="J91" i="2"/>
  <c r="I91" i="2"/>
  <c r="F91" i="2"/>
  <c r="C91" i="2"/>
  <c r="B91" i="2"/>
  <c r="A91" i="2"/>
  <c r="J90" i="2"/>
  <c r="I90" i="2"/>
  <c r="F90" i="2"/>
  <c r="C90" i="2"/>
  <c r="B90" i="2"/>
  <c r="A90" i="2"/>
  <c r="J89" i="2"/>
  <c r="I89" i="2"/>
  <c r="F89" i="2"/>
  <c r="C89" i="2"/>
  <c r="B89" i="2"/>
  <c r="A89" i="2"/>
  <c r="J88" i="2"/>
  <c r="I88" i="2"/>
  <c r="F88" i="2"/>
  <c r="C88" i="2"/>
  <c r="B88" i="2"/>
  <c r="A88" i="2"/>
  <c r="J87" i="2"/>
  <c r="I87" i="2"/>
  <c r="F87" i="2"/>
  <c r="C87" i="2"/>
  <c r="B87" i="2"/>
  <c r="A87" i="2"/>
  <c r="J86" i="2"/>
  <c r="I86" i="2"/>
  <c r="F86" i="2"/>
  <c r="C86" i="2"/>
  <c r="B86" i="2"/>
  <c r="A86" i="2"/>
  <c r="J85" i="2"/>
  <c r="I85" i="2"/>
  <c r="F85" i="2"/>
  <c r="C85" i="2"/>
  <c r="B85" i="2"/>
  <c r="A85" i="2"/>
  <c r="J84" i="2"/>
  <c r="I84" i="2"/>
  <c r="F84" i="2"/>
  <c r="C84" i="2"/>
  <c r="B84" i="2"/>
  <c r="A84" i="2"/>
  <c r="J83" i="2"/>
  <c r="I83" i="2"/>
  <c r="F83" i="2"/>
  <c r="C83" i="2"/>
  <c r="B83" i="2"/>
  <c r="A83" i="2"/>
  <c r="J82" i="2"/>
  <c r="I82" i="2"/>
  <c r="F82" i="2"/>
  <c r="C82" i="2"/>
  <c r="B82" i="2"/>
  <c r="A82" i="2"/>
  <c r="J81" i="2"/>
  <c r="I81" i="2"/>
  <c r="F81" i="2"/>
  <c r="C81" i="2"/>
  <c r="B81" i="2"/>
  <c r="A81" i="2"/>
  <c r="J80" i="2"/>
  <c r="I80" i="2"/>
  <c r="F80" i="2"/>
  <c r="C80" i="2"/>
  <c r="B80" i="2"/>
  <c r="A80" i="2"/>
  <c r="J79" i="2"/>
  <c r="I79" i="2"/>
  <c r="F79" i="2"/>
  <c r="C79" i="2"/>
  <c r="B79" i="2"/>
  <c r="A79" i="2"/>
  <c r="J78" i="2"/>
  <c r="I78" i="2"/>
  <c r="F78" i="2"/>
  <c r="C78" i="2"/>
  <c r="B78" i="2"/>
  <c r="A78" i="2"/>
  <c r="J77" i="2"/>
  <c r="I77" i="2"/>
  <c r="F77" i="2"/>
  <c r="C77" i="2"/>
  <c r="B77" i="2"/>
  <c r="A77" i="2"/>
  <c r="J76" i="2"/>
  <c r="I76" i="2"/>
  <c r="F76" i="2"/>
  <c r="C76" i="2"/>
  <c r="B76" i="2"/>
  <c r="A76" i="2"/>
  <c r="J75" i="2"/>
  <c r="I75" i="2"/>
  <c r="F75" i="2"/>
  <c r="C75" i="2"/>
  <c r="B75" i="2"/>
  <c r="A75" i="2"/>
  <c r="J74" i="2"/>
  <c r="I74" i="2"/>
  <c r="F74" i="2"/>
  <c r="C74" i="2"/>
  <c r="B74" i="2"/>
  <c r="A74" i="2"/>
  <c r="J73" i="2"/>
  <c r="I73" i="2"/>
  <c r="F73" i="2"/>
  <c r="C73" i="2"/>
  <c r="B73" i="2"/>
  <c r="A73" i="2"/>
  <c r="J72" i="2"/>
  <c r="I72" i="2"/>
  <c r="F72" i="2"/>
  <c r="C72" i="2"/>
  <c r="B72" i="2"/>
  <c r="A72" i="2"/>
  <c r="J71" i="2"/>
  <c r="I71" i="2"/>
  <c r="F71" i="2"/>
  <c r="C71" i="2"/>
  <c r="B71" i="2"/>
  <c r="A71" i="2"/>
  <c r="J70" i="2"/>
  <c r="I70" i="2"/>
  <c r="F70" i="2"/>
  <c r="C70" i="2"/>
  <c r="B70" i="2"/>
  <c r="A70" i="2"/>
  <c r="J69" i="2"/>
  <c r="I69" i="2"/>
  <c r="F69" i="2"/>
  <c r="C69" i="2"/>
  <c r="B69" i="2"/>
  <c r="A69" i="2"/>
  <c r="J68" i="2"/>
  <c r="I68" i="2"/>
  <c r="F68" i="2"/>
  <c r="C68" i="2"/>
  <c r="B68" i="2"/>
  <c r="A68" i="2"/>
  <c r="J67" i="2"/>
  <c r="I67" i="2"/>
  <c r="F67" i="2"/>
  <c r="C67" i="2"/>
  <c r="B67" i="2"/>
  <c r="A67" i="2"/>
  <c r="J66" i="2"/>
  <c r="I66" i="2"/>
  <c r="F66" i="2"/>
  <c r="C66" i="2"/>
  <c r="B66" i="2"/>
  <c r="A66" i="2"/>
  <c r="J65" i="2"/>
  <c r="I65" i="2"/>
  <c r="F65" i="2"/>
  <c r="C65" i="2"/>
  <c r="B65" i="2"/>
  <c r="A65" i="2"/>
  <c r="J64" i="2"/>
  <c r="I64" i="2"/>
  <c r="F64" i="2"/>
  <c r="C64" i="2"/>
  <c r="B64" i="2"/>
  <c r="A64" i="2"/>
  <c r="J63" i="2"/>
  <c r="I63" i="2"/>
  <c r="F63" i="2"/>
  <c r="C63" i="2"/>
  <c r="B63" i="2"/>
  <c r="A63" i="2"/>
  <c r="J62" i="2"/>
  <c r="I62" i="2"/>
  <c r="F62" i="2"/>
  <c r="C62" i="2"/>
  <c r="B62" i="2"/>
  <c r="A62" i="2"/>
  <c r="J61" i="2"/>
  <c r="I61" i="2"/>
  <c r="F61" i="2"/>
  <c r="C61" i="2"/>
  <c r="B61" i="2"/>
  <c r="A61" i="2"/>
  <c r="J60" i="2"/>
  <c r="I60" i="2"/>
  <c r="F60" i="2"/>
  <c r="C60" i="2"/>
  <c r="B60" i="2"/>
  <c r="A60" i="2"/>
  <c r="J59" i="2"/>
  <c r="I59" i="2"/>
  <c r="F59" i="2"/>
  <c r="C59" i="2"/>
  <c r="B59" i="2"/>
  <c r="A59" i="2"/>
  <c r="J58" i="2"/>
  <c r="I58" i="2"/>
  <c r="F58" i="2"/>
  <c r="C58" i="2"/>
  <c r="B58" i="2"/>
  <c r="A58" i="2"/>
  <c r="J57" i="2"/>
  <c r="I57" i="2"/>
  <c r="F57" i="2"/>
  <c r="C57" i="2"/>
  <c r="B57" i="2"/>
  <c r="A57" i="2"/>
  <c r="J56" i="2"/>
  <c r="I56" i="2"/>
  <c r="F56" i="2"/>
  <c r="C56" i="2"/>
  <c r="B56" i="2"/>
  <c r="A56" i="2"/>
  <c r="J55" i="2"/>
  <c r="I55" i="2"/>
  <c r="F55" i="2"/>
  <c r="C55" i="2"/>
  <c r="B55" i="2"/>
  <c r="A55" i="2"/>
  <c r="J54" i="2"/>
  <c r="I54" i="2"/>
  <c r="F54" i="2"/>
  <c r="C54" i="2"/>
  <c r="B54" i="2"/>
  <c r="A54" i="2"/>
  <c r="J53" i="2"/>
  <c r="I53" i="2"/>
  <c r="F53" i="2"/>
  <c r="C53" i="2"/>
  <c r="B53" i="2"/>
  <c r="A53" i="2"/>
  <c r="J52" i="2"/>
  <c r="I52" i="2"/>
  <c r="F52" i="2"/>
  <c r="C52" i="2"/>
  <c r="B52" i="2"/>
  <c r="A52" i="2"/>
  <c r="J51" i="2"/>
  <c r="I51" i="2"/>
  <c r="F51" i="2"/>
  <c r="C51" i="2"/>
  <c r="B51" i="2"/>
  <c r="A51" i="2"/>
  <c r="J50" i="2"/>
  <c r="I50" i="2"/>
  <c r="F50" i="2"/>
  <c r="C50" i="2"/>
  <c r="B50" i="2"/>
  <c r="A50" i="2"/>
  <c r="J49" i="2"/>
  <c r="I49" i="2"/>
  <c r="F49" i="2"/>
  <c r="C49" i="2"/>
  <c r="B49" i="2"/>
  <c r="A49" i="2"/>
  <c r="J48" i="2"/>
  <c r="I48" i="2"/>
  <c r="F48" i="2"/>
  <c r="C48" i="2"/>
  <c r="B48" i="2"/>
  <c r="A48" i="2"/>
  <c r="J47" i="2"/>
  <c r="I47" i="2"/>
  <c r="F47" i="2"/>
  <c r="C47" i="2"/>
  <c r="B47" i="2"/>
  <c r="A47" i="2"/>
  <c r="J46" i="2"/>
  <c r="I46" i="2"/>
  <c r="F46" i="2"/>
  <c r="C46" i="2"/>
  <c r="B46" i="2"/>
  <c r="A46" i="2"/>
  <c r="C41" i="2"/>
  <c r="H41" i="2" s="1"/>
  <c r="C40" i="2"/>
  <c r="H40" i="2" s="1"/>
  <c r="C39" i="2"/>
  <c r="H39" i="2" s="1"/>
  <c r="C38" i="2"/>
  <c r="F38" i="2" s="1"/>
  <c r="C37" i="2"/>
  <c r="H37" i="2" s="1"/>
  <c r="C36" i="2"/>
  <c r="G36" i="2" s="1"/>
  <c r="C35" i="2"/>
  <c r="H35" i="2" s="1"/>
  <c r="C34" i="2"/>
  <c r="H34" i="2" s="1"/>
  <c r="C33" i="2"/>
  <c r="F33" i="2" s="1"/>
  <c r="C32" i="2"/>
  <c r="F32" i="2" s="1"/>
  <c r="C31" i="2"/>
  <c r="H31" i="2" s="1"/>
  <c r="C30" i="2"/>
  <c r="H30" i="2" s="1"/>
  <c r="C29" i="2"/>
  <c r="H29" i="2" s="1"/>
  <c r="C28" i="2"/>
  <c r="G28" i="2" s="1"/>
  <c r="C27" i="2"/>
  <c r="H27" i="2" s="1"/>
  <c r="C26" i="2"/>
  <c r="H26" i="2" s="1"/>
  <c r="C25" i="2"/>
  <c r="H25" i="2" s="1"/>
  <c r="C24" i="2"/>
  <c r="F24" i="2" s="1"/>
  <c r="C23" i="2"/>
  <c r="H23" i="2" s="1"/>
  <c r="C22" i="2"/>
  <c r="H22" i="2" s="1"/>
  <c r="B17" i="2"/>
  <c r="B16" i="2"/>
  <c r="B15" i="2"/>
  <c r="B14" i="2"/>
  <c r="B13" i="2"/>
  <c r="B12" i="2"/>
  <c r="C7" i="2"/>
  <c r="A7" i="2"/>
  <c r="D263" i="2"/>
  <c r="G173" i="1"/>
  <c r="G211" i="2" s="1"/>
  <c r="E211" i="2"/>
  <c r="G172" i="1"/>
  <c r="G210" i="2" s="1"/>
  <c r="E210" i="2"/>
  <c r="E209" i="2"/>
  <c r="G170" i="1"/>
  <c r="G208" i="2" s="1"/>
  <c r="E208" i="2"/>
  <c r="E207" i="2"/>
  <c r="G168" i="1"/>
  <c r="G206" i="2" s="1"/>
  <c r="E206" i="2"/>
  <c r="E205" i="2"/>
  <c r="G166" i="1"/>
  <c r="G204" i="2" s="1"/>
  <c r="E204" i="2"/>
  <c r="E203" i="2"/>
  <c r="E202" i="2"/>
  <c r="E201" i="2"/>
  <c r="G162" i="1"/>
  <c r="G200" i="2" s="1"/>
  <c r="E200" i="2"/>
  <c r="G161" i="1"/>
  <c r="G199" i="2" s="1"/>
  <c r="E199" i="2"/>
  <c r="E198" i="2"/>
  <c r="G159" i="1"/>
  <c r="G197" i="2" s="1"/>
  <c r="E197" i="2"/>
  <c r="E196" i="2"/>
  <c r="G157" i="1"/>
  <c r="G195" i="2" s="1"/>
  <c r="E195" i="2"/>
  <c r="E194" i="2"/>
  <c r="G155" i="1"/>
  <c r="G193" i="2" s="1"/>
  <c r="E193" i="2"/>
  <c r="E192" i="2"/>
  <c r="E191" i="2"/>
  <c r="E190" i="2"/>
  <c r="G151" i="1"/>
  <c r="G189" i="2" s="1"/>
  <c r="E189" i="2"/>
  <c r="G150" i="1"/>
  <c r="E188" i="2"/>
  <c r="E187" i="2"/>
  <c r="G148" i="1"/>
  <c r="G186" i="2" s="1"/>
  <c r="E186" i="2"/>
  <c r="E185" i="2"/>
  <c r="E184" i="2"/>
  <c r="E183" i="2"/>
  <c r="G144" i="1"/>
  <c r="G182" i="2" s="1"/>
  <c r="E182" i="2"/>
  <c r="E181" i="2"/>
  <c r="E180" i="2"/>
  <c r="E179" i="2"/>
  <c r="E178" i="2"/>
  <c r="G139" i="1"/>
  <c r="G177" i="2" s="1"/>
  <c r="E177" i="2"/>
  <c r="E176" i="2"/>
  <c r="G137" i="1"/>
  <c r="E175" i="2"/>
  <c r="E174" i="2"/>
  <c r="E173" i="2"/>
  <c r="E172" i="2"/>
  <c r="G133" i="1"/>
  <c r="G171" i="2" s="1"/>
  <c r="E171" i="2"/>
  <c r="E170" i="2"/>
  <c r="E169" i="2"/>
  <c r="E168" i="2"/>
  <c r="G128" i="1"/>
  <c r="G166" i="2" s="1"/>
  <c r="E166" i="2"/>
  <c r="E165" i="2"/>
  <c r="E164" i="2"/>
  <c r="E163" i="2"/>
  <c r="E162" i="2"/>
  <c r="E161" i="2"/>
  <c r="G122" i="1"/>
  <c r="G160" i="2" s="1"/>
  <c r="E160" i="2"/>
  <c r="E159" i="2"/>
  <c r="G120" i="1"/>
  <c r="G158" i="2" s="1"/>
  <c r="E158" i="2"/>
  <c r="E157" i="2"/>
  <c r="G117" i="1"/>
  <c r="G155" i="2" s="1"/>
  <c r="E155" i="2"/>
  <c r="E154" i="2"/>
  <c r="E153" i="2"/>
  <c r="E152" i="2"/>
  <c r="E151" i="2"/>
  <c r="G112" i="1"/>
  <c r="G150" i="2" s="1"/>
  <c r="E150" i="2"/>
  <c r="G111" i="1"/>
  <c r="G149" i="2" s="1"/>
  <c r="E149" i="2"/>
  <c r="E148" i="2"/>
  <c r="G109" i="1"/>
  <c r="G147" i="2" s="1"/>
  <c r="E147" i="2"/>
  <c r="E146" i="2"/>
  <c r="G106" i="1"/>
  <c r="G144" i="2" s="1"/>
  <c r="E144" i="2"/>
  <c r="E143" i="2"/>
  <c r="G104" i="1"/>
  <c r="E142" i="2"/>
  <c r="E141" i="2"/>
  <c r="E140" i="2"/>
  <c r="E139" i="2"/>
  <c r="G100" i="1"/>
  <c r="G138" i="2" s="1"/>
  <c r="E138" i="2"/>
  <c r="E137" i="2"/>
  <c r="E136" i="2"/>
  <c r="E135" i="2"/>
  <c r="G95" i="1"/>
  <c r="G133" i="2" s="1"/>
  <c r="E133" i="2"/>
  <c r="E132" i="2"/>
  <c r="E131" i="2"/>
  <c r="E130" i="2"/>
  <c r="E129" i="2"/>
  <c r="E128" i="2"/>
  <c r="G89" i="1"/>
  <c r="G127" i="2" s="1"/>
  <c r="E127" i="2"/>
  <c r="E126" i="2"/>
  <c r="E125" i="2"/>
  <c r="E124" i="2"/>
  <c r="G84" i="1"/>
  <c r="G122" i="2" s="1"/>
  <c r="E122" i="2"/>
  <c r="E121" i="2"/>
  <c r="E120" i="2"/>
  <c r="E119" i="2"/>
  <c r="E118" i="2"/>
  <c r="E117" i="2"/>
  <c r="G78" i="1"/>
  <c r="G116" i="2" s="1"/>
  <c r="E116" i="2"/>
  <c r="E115" i="2"/>
  <c r="E114" i="2"/>
  <c r="E113" i="2"/>
  <c r="G73" i="1"/>
  <c r="G111" i="2" s="1"/>
  <c r="E111" i="2"/>
  <c r="E110" i="2"/>
  <c r="E109" i="2"/>
  <c r="E108" i="2"/>
  <c r="E107" i="2"/>
  <c r="E106" i="2"/>
  <c r="G67" i="1"/>
  <c r="G105" i="2" s="1"/>
  <c r="E105" i="2"/>
  <c r="E104" i="2"/>
  <c r="G65" i="1"/>
  <c r="G103" i="2" s="1"/>
  <c r="E103" i="2"/>
  <c r="E102" i="2"/>
  <c r="G62" i="1"/>
  <c r="G100" i="2" s="1"/>
  <c r="E100" i="2"/>
  <c r="E99" i="2"/>
  <c r="E98" i="2"/>
  <c r="E97" i="2"/>
  <c r="E96" i="2"/>
  <c r="G57" i="1"/>
  <c r="G95" i="2" s="1"/>
  <c r="E95" i="2"/>
  <c r="G56" i="1"/>
  <c r="G94" i="2" s="1"/>
  <c r="E94" i="2"/>
  <c r="E93" i="2"/>
  <c r="E92" i="2"/>
  <c r="E91" i="2"/>
  <c r="G51" i="1"/>
  <c r="G89" i="2" s="1"/>
  <c r="E89" i="2"/>
  <c r="E88" i="2"/>
  <c r="G49" i="1"/>
  <c r="E87" i="2"/>
  <c r="E86" i="2"/>
  <c r="E85" i="2"/>
  <c r="E84" i="2"/>
  <c r="G45" i="1"/>
  <c r="G83" i="2" s="1"/>
  <c r="E83" i="2"/>
  <c r="E82" i="2"/>
  <c r="G43" i="1"/>
  <c r="G81" i="2" s="1"/>
  <c r="E81" i="2"/>
  <c r="E80" i="2"/>
  <c r="G40" i="1"/>
  <c r="G78" i="2" s="1"/>
  <c r="E78" i="2"/>
  <c r="E77" i="2"/>
  <c r="G38" i="1"/>
  <c r="G76" i="2" s="1"/>
  <c r="E76" i="2"/>
  <c r="E75" i="2"/>
  <c r="E74" i="2"/>
  <c r="G35" i="1"/>
  <c r="G73" i="2" s="1"/>
  <c r="E73" i="2"/>
  <c r="G34" i="1"/>
  <c r="G72" i="2" s="1"/>
  <c r="E72" i="2"/>
  <c r="E70" i="2"/>
  <c r="E69" i="2"/>
  <c r="E68" i="2"/>
  <c r="G29" i="1"/>
  <c r="G67" i="2" s="1"/>
  <c r="E67" i="2"/>
  <c r="E66" i="2"/>
  <c r="G27" i="1"/>
  <c r="G65" i="2" s="1"/>
  <c r="E65" i="2"/>
  <c r="E64" i="2"/>
  <c r="E63" i="2"/>
  <c r="G24" i="1"/>
  <c r="G62" i="2" s="1"/>
  <c r="E62" i="2"/>
  <c r="G23" i="1"/>
  <c r="G61" i="2" s="1"/>
  <c r="E61" i="2"/>
  <c r="E59" i="2"/>
  <c r="E58" i="2"/>
  <c r="E57" i="2"/>
  <c r="E55" i="2"/>
  <c r="E52" i="2"/>
  <c r="G13" i="1"/>
  <c r="G51" i="2" s="1"/>
  <c r="E51" i="2"/>
  <c r="G12" i="1"/>
  <c r="G50" i="2" s="1"/>
  <c r="E50" i="2"/>
  <c r="E48" i="2"/>
  <c r="E47" i="2"/>
  <c r="C5" i="1"/>
  <c r="A5" i="1"/>
  <c r="E237" i="2" l="1"/>
  <c r="E246" i="2"/>
  <c r="E212" i="2"/>
  <c r="C173" i="5"/>
  <c r="E173" i="5" s="1"/>
  <c r="F173" i="5" s="1"/>
  <c r="G177" i="1"/>
  <c r="G215" i="2" s="1"/>
  <c r="G184" i="1"/>
  <c r="G222" i="2" s="1"/>
  <c r="C183" i="5"/>
  <c r="E183" i="5" s="1"/>
  <c r="F183" i="5" s="1"/>
  <c r="G18" i="1"/>
  <c r="G56" i="2" s="1"/>
  <c r="C17" i="5"/>
  <c r="E17" i="5" s="1"/>
  <c r="F17" i="5" s="1"/>
  <c r="E220" i="2"/>
  <c r="C181" i="5"/>
  <c r="E181" i="5" s="1"/>
  <c r="F181" i="5" s="1"/>
  <c r="G181" i="1"/>
  <c r="G219" i="2" s="1"/>
  <c r="C180" i="5"/>
  <c r="E180" i="5" s="1"/>
  <c r="F180" i="5" s="1"/>
  <c r="G16" i="1"/>
  <c r="G54" i="2" s="1"/>
  <c r="C15" i="5"/>
  <c r="E15" i="5" s="1"/>
  <c r="F15" i="5" s="1"/>
  <c r="E215" i="2"/>
  <c r="E260" i="2"/>
  <c r="C221" i="5"/>
  <c r="E221" i="5" s="1"/>
  <c r="F221" i="5" s="1"/>
  <c r="E249" i="2"/>
  <c r="C210" i="5"/>
  <c r="E210" i="5" s="1"/>
  <c r="F210" i="5" s="1"/>
  <c r="E238" i="2"/>
  <c r="C199" i="5"/>
  <c r="E199" i="5" s="1"/>
  <c r="F199" i="5" s="1"/>
  <c r="E227" i="2"/>
  <c r="C188" i="5"/>
  <c r="E188" i="5" s="1"/>
  <c r="F188" i="5" s="1"/>
  <c r="E259" i="2"/>
  <c r="C220" i="5"/>
  <c r="E220" i="5" s="1"/>
  <c r="F220" i="5" s="1"/>
  <c r="E248" i="2"/>
  <c r="C209" i="5"/>
  <c r="E209" i="5" s="1"/>
  <c r="F209" i="5" s="1"/>
  <c r="G188" i="1"/>
  <c r="G226" i="2" s="1"/>
  <c r="C187" i="5"/>
  <c r="E187" i="5" s="1"/>
  <c r="F187" i="5" s="1"/>
  <c r="E221" i="2"/>
  <c r="G199" i="1"/>
  <c r="G237" i="2" s="1"/>
  <c r="E258" i="2"/>
  <c r="C219" i="5"/>
  <c r="E219" i="5" s="1"/>
  <c r="F219" i="5" s="1"/>
  <c r="G198" i="1"/>
  <c r="G236" i="2" s="1"/>
  <c r="C197" i="5"/>
  <c r="E197" i="5" s="1"/>
  <c r="F197" i="5" s="1"/>
  <c r="G187" i="1"/>
  <c r="G225" i="2" s="1"/>
  <c r="C186" i="5"/>
  <c r="E186" i="5" s="1"/>
  <c r="F186" i="5" s="1"/>
  <c r="G183" i="1"/>
  <c r="G221" i="2" s="1"/>
  <c r="E257" i="2"/>
  <c r="C218" i="5"/>
  <c r="E218" i="5" s="1"/>
  <c r="F218" i="5" s="1"/>
  <c r="E224" i="2"/>
  <c r="E247" i="2"/>
  <c r="E256" i="2"/>
  <c r="C217" i="5"/>
  <c r="E217" i="5" s="1"/>
  <c r="F217" i="5" s="1"/>
  <c r="E245" i="2"/>
  <c r="C206" i="5"/>
  <c r="E206" i="5" s="1"/>
  <c r="F206" i="5" s="1"/>
  <c r="E234" i="2"/>
  <c r="C195" i="5"/>
  <c r="E195" i="5" s="1"/>
  <c r="F195" i="5" s="1"/>
  <c r="E223" i="2"/>
  <c r="C184" i="5"/>
  <c r="E184" i="5" s="1"/>
  <c r="F184" i="5" s="1"/>
  <c r="G209" i="1"/>
  <c r="G247" i="2" s="1"/>
  <c r="E255" i="2"/>
  <c r="C216" i="5"/>
  <c r="E216" i="5" s="1"/>
  <c r="F216" i="5" s="1"/>
  <c r="E244" i="2"/>
  <c r="C205" i="5"/>
  <c r="E205" i="5" s="1"/>
  <c r="F205" i="5" s="1"/>
  <c r="E233" i="2"/>
  <c r="C194" i="5"/>
  <c r="E194" i="5" s="1"/>
  <c r="F194" i="5" s="1"/>
  <c r="E225" i="2"/>
  <c r="G227" i="1"/>
  <c r="G265" i="2" s="1"/>
  <c r="C226" i="5"/>
  <c r="E226" i="5" s="1"/>
  <c r="F226" i="5" s="1"/>
  <c r="G205" i="1"/>
  <c r="G243" i="2" s="1"/>
  <c r="C204" i="5"/>
  <c r="E204" i="5" s="1"/>
  <c r="F204" i="5" s="1"/>
  <c r="G194" i="1"/>
  <c r="G232" i="2" s="1"/>
  <c r="C193" i="5"/>
  <c r="E193" i="5" s="1"/>
  <c r="F193" i="5" s="1"/>
  <c r="E254" i="2"/>
  <c r="E264" i="2"/>
  <c r="C225" i="5"/>
  <c r="E225" i="5" s="1"/>
  <c r="F225" i="5" s="1"/>
  <c r="E253" i="2"/>
  <c r="C214" i="5"/>
  <c r="E214" i="5" s="1"/>
  <c r="F214" i="5" s="1"/>
  <c r="E242" i="2"/>
  <c r="C203" i="5"/>
  <c r="E203" i="5" s="1"/>
  <c r="F203" i="5" s="1"/>
  <c r="E231" i="2"/>
  <c r="C192" i="5"/>
  <c r="E192" i="5" s="1"/>
  <c r="F192" i="5" s="1"/>
  <c r="E213" i="2"/>
  <c r="E235" i="2"/>
  <c r="G216" i="1"/>
  <c r="G254" i="2" s="1"/>
  <c r="E263" i="2"/>
  <c r="C224" i="5"/>
  <c r="E224" i="5" s="1"/>
  <c r="F224" i="5" s="1"/>
  <c r="E252" i="2"/>
  <c r="C213" i="5"/>
  <c r="E213" i="5" s="1"/>
  <c r="F213" i="5" s="1"/>
  <c r="E241" i="2"/>
  <c r="C202" i="5"/>
  <c r="E202" i="5" s="1"/>
  <c r="F202" i="5" s="1"/>
  <c r="E230" i="2"/>
  <c r="C191" i="5"/>
  <c r="E191" i="5" s="1"/>
  <c r="F191" i="5" s="1"/>
  <c r="E214" i="2"/>
  <c r="E262" i="2"/>
  <c r="C223" i="5"/>
  <c r="E223" i="5" s="1"/>
  <c r="F223" i="5" s="1"/>
  <c r="E251" i="2"/>
  <c r="C212" i="5"/>
  <c r="E212" i="5" s="1"/>
  <c r="F212" i="5" s="1"/>
  <c r="E240" i="2"/>
  <c r="C201" i="5"/>
  <c r="E201" i="5" s="1"/>
  <c r="F201" i="5" s="1"/>
  <c r="E229" i="2"/>
  <c r="C190" i="5"/>
  <c r="E190" i="5" s="1"/>
  <c r="F190" i="5" s="1"/>
  <c r="E218" i="2"/>
  <c r="C179" i="5"/>
  <c r="E179" i="5" s="1"/>
  <c r="F179" i="5" s="1"/>
  <c r="E53" i="2"/>
  <c r="C14" i="5"/>
  <c r="E14" i="5" s="1"/>
  <c r="F14" i="5" s="1"/>
  <c r="E261" i="2"/>
  <c r="C222" i="5"/>
  <c r="E222" i="5" s="1"/>
  <c r="F222" i="5" s="1"/>
  <c r="E250" i="2"/>
  <c r="C211" i="5"/>
  <c r="E211" i="5" s="1"/>
  <c r="F211" i="5" s="1"/>
  <c r="E239" i="2"/>
  <c r="C200" i="5"/>
  <c r="E200" i="5" s="1"/>
  <c r="F200" i="5" s="1"/>
  <c r="E228" i="2"/>
  <c r="C189" i="5"/>
  <c r="E189" i="5" s="1"/>
  <c r="F189" i="5" s="1"/>
  <c r="G179" i="1"/>
  <c r="G217" i="2" s="1"/>
  <c r="C178" i="5"/>
  <c r="E178" i="5" s="1"/>
  <c r="F178" i="5" s="1"/>
  <c r="E216" i="2"/>
  <c r="C177" i="5"/>
  <c r="E177" i="5" s="1"/>
  <c r="F177" i="5" s="1"/>
  <c r="E46" i="2"/>
  <c r="C7" i="5"/>
  <c r="E7" i="5" s="1"/>
  <c r="F7" i="5" s="1"/>
  <c r="E243" i="2"/>
  <c r="E226" i="2"/>
  <c r="E265" i="2"/>
  <c r="E222" i="2"/>
  <c r="G192" i="1"/>
  <c r="G230" i="2" s="1"/>
  <c r="E217" i="2"/>
  <c r="E219" i="2"/>
  <c r="H28" i="2"/>
  <c r="G38" i="2"/>
  <c r="H38" i="2"/>
  <c r="G32" i="2"/>
  <c r="G220" i="1"/>
  <c r="G258" i="2" s="1"/>
  <c r="G27" i="2"/>
  <c r="G34" i="2"/>
  <c r="F34" i="2"/>
  <c r="G25" i="2"/>
  <c r="G222" i="1"/>
  <c r="G260" i="2" s="1"/>
  <c r="H57" i="1"/>
  <c r="H95" i="2" s="1"/>
  <c r="G24" i="2"/>
  <c r="G26" i="2"/>
  <c r="H84" i="1"/>
  <c r="H122" i="2" s="1"/>
  <c r="H24" i="2"/>
  <c r="H40" i="1"/>
  <c r="H78" i="2" s="1"/>
  <c r="F28" i="2"/>
  <c r="G33" i="2"/>
  <c r="F25" i="2"/>
  <c r="H33" i="2"/>
  <c r="F37" i="2"/>
  <c r="F26" i="2"/>
  <c r="F29" i="2"/>
  <c r="G35" i="2"/>
  <c r="F40" i="2"/>
  <c r="F35" i="2"/>
  <c r="H148" i="1"/>
  <c r="H186" i="2" s="1"/>
  <c r="H170" i="1"/>
  <c r="H208" i="2" s="1"/>
  <c r="F27" i="2"/>
  <c r="G40" i="2"/>
  <c r="F36" i="2"/>
  <c r="H36" i="2"/>
  <c r="E56" i="2"/>
  <c r="E54" i="2"/>
  <c r="H24" i="1"/>
  <c r="H62" i="2" s="1"/>
  <c r="H51" i="1"/>
  <c r="H89" i="2" s="1"/>
  <c r="H65" i="1"/>
  <c r="H103" i="2" s="1"/>
  <c r="E232" i="2"/>
  <c r="H29" i="1"/>
  <c r="H67" i="2" s="1"/>
  <c r="H181" i="1"/>
  <c r="H219" i="2" s="1"/>
  <c r="G190" i="1"/>
  <c r="G228" i="2" s="1"/>
  <c r="H13" i="1"/>
  <c r="H51" i="2" s="1"/>
  <c r="H62" i="1"/>
  <c r="H100" i="2" s="1"/>
  <c r="H35" i="1"/>
  <c r="H73" i="2" s="1"/>
  <c r="H18" i="1"/>
  <c r="H56" i="2" s="1"/>
  <c r="H109" i="1"/>
  <c r="H147" i="2" s="1"/>
  <c r="H128" i="1"/>
  <c r="H166" i="2" s="1"/>
  <c r="H159" i="1"/>
  <c r="H197" i="2" s="1"/>
  <c r="G8" i="1"/>
  <c r="H8" i="1" s="1"/>
  <c r="G19" i="1"/>
  <c r="G30" i="1"/>
  <c r="G87" i="2"/>
  <c r="H49" i="1"/>
  <c r="H87" i="2" s="1"/>
  <c r="E134" i="2"/>
  <c r="G96" i="1"/>
  <c r="H139" i="1"/>
  <c r="H177" i="2" s="1"/>
  <c r="G142" i="2"/>
  <c r="H104" i="1"/>
  <c r="H142" i="2" s="1"/>
  <c r="H16" i="1"/>
  <c r="H54" i="2" s="1"/>
  <c r="H27" i="1"/>
  <c r="H65" i="2" s="1"/>
  <c r="H38" i="1"/>
  <c r="H76" i="2" s="1"/>
  <c r="G46" i="1"/>
  <c r="G54" i="1"/>
  <c r="H73" i="1"/>
  <c r="H111" i="2" s="1"/>
  <c r="E123" i="2"/>
  <c r="G85" i="1"/>
  <c r="H112" i="1"/>
  <c r="H150" i="2" s="1"/>
  <c r="H120" i="1"/>
  <c r="H158" i="2" s="1"/>
  <c r="G93" i="1"/>
  <c r="G101" i="1"/>
  <c r="G10" i="1"/>
  <c r="G21" i="1"/>
  <c r="G32" i="1"/>
  <c r="H43" i="1"/>
  <c r="H81" i="2" s="1"/>
  <c r="G82" i="1"/>
  <c r="G90" i="1"/>
  <c r="G98" i="1"/>
  <c r="H117" i="1"/>
  <c r="H155" i="2" s="1"/>
  <c r="E167" i="2"/>
  <c r="G129" i="1"/>
  <c r="E101" i="2"/>
  <c r="G63" i="1"/>
  <c r="G175" i="2"/>
  <c r="H137" i="1"/>
  <c r="H175" i="2" s="1"/>
  <c r="G71" i="1"/>
  <c r="G79" i="1"/>
  <c r="G87" i="1"/>
  <c r="H106" i="1"/>
  <c r="H144" i="2" s="1"/>
  <c r="E156" i="2"/>
  <c r="G118" i="1"/>
  <c r="G188" i="2"/>
  <c r="H150" i="1"/>
  <c r="H188" i="2" s="1"/>
  <c r="G126" i="1"/>
  <c r="G134" i="1"/>
  <c r="G142" i="1"/>
  <c r="E112" i="2"/>
  <c r="G74" i="1"/>
  <c r="E49" i="2"/>
  <c r="G11" i="1"/>
  <c r="E60" i="2"/>
  <c r="G22" i="1"/>
  <c r="E71" i="2"/>
  <c r="G33" i="1"/>
  <c r="E90" i="2"/>
  <c r="G52" i="1"/>
  <c r="G60" i="1"/>
  <c r="G68" i="1"/>
  <c r="G76" i="1"/>
  <c r="H95" i="1"/>
  <c r="H133" i="2" s="1"/>
  <c r="E145" i="2"/>
  <c r="G107" i="1"/>
  <c r="E79" i="2"/>
  <c r="G41" i="1"/>
  <c r="G115" i="1"/>
  <c r="G123" i="1"/>
  <c r="G131" i="1"/>
  <c r="G203" i="1"/>
  <c r="G214" i="1"/>
  <c r="G225" i="1"/>
  <c r="F30" i="2"/>
  <c r="H32" i="2"/>
  <c r="G140" i="1"/>
  <c r="G195" i="1"/>
  <c r="G206" i="1"/>
  <c r="G217" i="1"/>
  <c r="G30" i="2"/>
  <c r="H151" i="1"/>
  <c r="G154" i="1"/>
  <c r="H162" i="1"/>
  <c r="G165" i="1"/>
  <c r="H173" i="1"/>
  <c r="G176" i="1"/>
  <c r="H184" i="1"/>
  <c r="F23" i="2"/>
  <c r="G58" i="1"/>
  <c r="H198" i="1"/>
  <c r="H236" i="2" s="1"/>
  <c r="G201" i="1"/>
  <c r="G212" i="1"/>
  <c r="G223" i="1"/>
  <c r="G23" i="2"/>
  <c r="G66" i="1"/>
  <c r="G88" i="1"/>
  <c r="G110" i="1"/>
  <c r="G47" i="1"/>
  <c r="G69" i="1"/>
  <c r="G80" i="1"/>
  <c r="G113" i="1"/>
  <c r="G149" i="1"/>
  <c r="H157" i="1"/>
  <c r="H195" i="2" s="1"/>
  <c r="G160" i="1"/>
  <c r="H168" i="1"/>
  <c r="H206" i="2" s="1"/>
  <c r="G171" i="1"/>
  <c r="G182" i="1"/>
  <c r="G193" i="1"/>
  <c r="G204" i="1"/>
  <c r="G215" i="1"/>
  <c r="G226" i="1"/>
  <c r="G77" i="1"/>
  <c r="G99" i="1"/>
  <c r="G121" i="1"/>
  <c r="G132" i="1"/>
  <c r="G36" i="1"/>
  <c r="G91" i="1"/>
  <c r="G135" i="1"/>
  <c r="G28" i="1"/>
  <c r="G50" i="1"/>
  <c r="G61" i="1"/>
  <c r="G72" i="1"/>
  <c r="G83" i="1"/>
  <c r="G94" i="1"/>
  <c r="G105" i="1"/>
  <c r="G116" i="1"/>
  <c r="G127" i="1"/>
  <c r="G138" i="1"/>
  <c r="G9" i="1"/>
  <c r="G20" i="1"/>
  <c r="G31" i="1"/>
  <c r="G42" i="1"/>
  <c r="G53" i="1"/>
  <c r="G64" i="1"/>
  <c r="G75" i="1"/>
  <c r="G86" i="1"/>
  <c r="G97" i="1"/>
  <c r="G108" i="1"/>
  <c r="G119" i="1"/>
  <c r="G130" i="1"/>
  <c r="G141" i="1"/>
  <c r="G152" i="1"/>
  <c r="G163" i="1"/>
  <c r="G174" i="1"/>
  <c r="G185" i="1"/>
  <c r="G196" i="1"/>
  <c r="G207" i="1"/>
  <c r="G218" i="1"/>
  <c r="F31" i="2"/>
  <c r="G44" i="1"/>
  <c r="G55" i="1"/>
  <c r="G143" i="1"/>
  <c r="G14" i="1"/>
  <c r="G25" i="1"/>
  <c r="G102" i="1"/>
  <c r="G17" i="1"/>
  <c r="G39" i="1"/>
  <c r="G210" i="1"/>
  <c r="G221" i="1"/>
  <c r="G29" i="2"/>
  <c r="G31" i="2"/>
  <c r="G124" i="1"/>
  <c r="G146" i="1"/>
  <c r="H12" i="1"/>
  <c r="H50" i="2" s="1"/>
  <c r="G15" i="1"/>
  <c r="H23" i="1"/>
  <c r="H61" i="2" s="1"/>
  <c r="G26" i="1"/>
  <c r="H34" i="1"/>
  <c r="H72" i="2" s="1"/>
  <c r="G37" i="1"/>
  <c r="H45" i="1"/>
  <c r="H83" i="2" s="1"/>
  <c r="G48" i="1"/>
  <c r="H56" i="1"/>
  <c r="H94" i="2" s="1"/>
  <c r="G59" i="1"/>
  <c r="H67" i="1"/>
  <c r="H105" i="2" s="1"/>
  <c r="G70" i="1"/>
  <c r="H78" i="1"/>
  <c r="H116" i="2" s="1"/>
  <c r="G81" i="1"/>
  <c r="H89" i="1"/>
  <c r="H127" i="2" s="1"/>
  <c r="G92" i="1"/>
  <c r="H100" i="1"/>
  <c r="H138" i="2" s="1"/>
  <c r="G103" i="1"/>
  <c r="H111" i="1"/>
  <c r="H149" i="2" s="1"/>
  <c r="G114" i="1"/>
  <c r="H122" i="1"/>
  <c r="H160" i="2" s="1"/>
  <c r="G125" i="1"/>
  <c r="H133" i="1"/>
  <c r="H171" i="2" s="1"/>
  <c r="G136" i="1"/>
  <c r="H144" i="1"/>
  <c r="H182" i="2" s="1"/>
  <c r="G147" i="1"/>
  <c r="H155" i="1"/>
  <c r="H193" i="2" s="1"/>
  <c r="G158" i="1"/>
  <c r="H166" i="1"/>
  <c r="H204" i="2" s="1"/>
  <c r="G169" i="1"/>
  <c r="H177" i="1"/>
  <c r="H215" i="2" s="1"/>
  <c r="G180" i="1"/>
  <c r="G191" i="1"/>
  <c r="H199" i="1"/>
  <c r="H237" i="2" s="1"/>
  <c r="G202" i="1"/>
  <c r="G213" i="1"/>
  <c r="G224" i="1"/>
  <c r="G153" i="1"/>
  <c r="H161" i="1"/>
  <c r="H199" i="2" s="1"/>
  <c r="G164" i="1"/>
  <c r="H172" i="1"/>
  <c r="H210" i="2" s="1"/>
  <c r="G175" i="1"/>
  <c r="G186" i="1"/>
  <c r="H194" i="1"/>
  <c r="H232" i="2" s="1"/>
  <c r="G197" i="1"/>
  <c r="G208" i="1"/>
  <c r="G219" i="1"/>
  <c r="G145" i="1"/>
  <c r="G156" i="1"/>
  <c r="G167" i="1"/>
  <c r="G178" i="1"/>
  <c r="G189" i="1"/>
  <c r="G200" i="1"/>
  <c r="G211" i="1"/>
  <c r="G37" i="2"/>
  <c r="F39" i="2"/>
  <c r="G39" i="2"/>
  <c r="F41" i="2"/>
  <c r="G41" i="2"/>
  <c r="H209" i="1" l="1"/>
  <c r="H247" i="2" s="1"/>
  <c r="H227" i="1"/>
  <c r="H265" i="2" s="1"/>
  <c r="H183" i="1"/>
  <c r="H221" i="2" s="1"/>
  <c r="H188" i="1"/>
  <c r="H226" i="2" s="1"/>
  <c r="H179" i="1"/>
  <c r="H217" i="2" s="1"/>
  <c r="H216" i="1"/>
  <c r="H254" i="2" s="1"/>
  <c r="H222" i="1"/>
  <c r="H260" i="2" s="1"/>
  <c r="H192" i="1"/>
  <c r="H230" i="2" s="1"/>
  <c r="H187" i="1"/>
  <c r="H225" i="2" s="1"/>
  <c r="H220" i="1"/>
  <c r="H258" i="2" s="1"/>
  <c r="H205" i="1"/>
  <c r="H243" i="2" s="1"/>
  <c r="C7" i="6"/>
  <c r="E7" i="6" s="1"/>
  <c r="C6" i="6"/>
  <c r="E6" i="6" s="1"/>
  <c r="B5" i="5"/>
  <c r="H190" i="1"/>
  <c r="H228" i="2" s="1"/>
  <c r="G130" i="2"/>
  <c r="H92" i="1"/>
  <c r="H130" i="2" s="1"/>
  <c r="G202" i="2"/>
  <c r="H164" i="1"/>
  <c r="H202" i="2" s="1"/>
  <c r="G152" i="2"/>
  <c r="H114" i="1"/>
  <c r="H152" i="2" s="1"/>
  <c r="G82" i="2"/>
  <c r="H44" i="1"/>
  <c r="H82" i="2" s="1"/>
  <c r="G157" i="2"/>
  <c r="H119" i="1"/>
  <c r="H157" i="2" s="1"/>
  <c r="G176" i="2"/>
  <c r="H138" i="1"/>
  <c r="H176" i="2" s="1"/>
  <c r="G129" i="2"/>
  <c r="H91" i="1"/>
  <c r="H129" i="2" s="1"/>
  <c r="G220" i="2"/>
  <c r="H182" i="1"/>
  <c r="H220" i="2" s="1"/>
  <c r="G148" i="2"/>
  <c r="H110" i="1"/>
  <c r="H148" i="2" s="1"/>
  <c r="G233" i="2"/>
  <c r="H195" i="1"/>
  <c r="G153" i="2"/>
  <c r="H115" i="1"/>
  <c r="H153" i="2" s="1"/>
  <c r="G71" i="2"/>
  <c r="H33" i="1"/>
  <c r="H71" i="2" s="1"/>
  <c r="G139" i="2"/>
  <c r="H101" i="1"/>
  <c r="H139" i="2" s="1"/>
  <c r="G86" i="2"/>
  <c r="H48" i="1"/>
  <c r="H86" i="2" s="1"/>
  <c r="G146" i="2"/>
  <c r="H108" i="1"/>
  <c r="H146" i="2" s="1"/>
  <c r="G165" i="2"/>
  <c r="H127" i="1"/>
  <c r="H165" i="2" s="1"/>
  <c r="G74" i="2"/>
  <c r="H36" i="1"/>
  <c r="H74" i="2" s="1"/>
  <c r="G126" i="2"/>
  <c r="H88" i="1"/>
  <c r="H126" i="2" s="1"/>
  <c r="H222" i="2"/>
  <c r="G79" i="2"/>
  <c r="H41" i="1"/>
  <c r="G167" i="2"/>
  <c r="H129" i="1"/>
  <c r="G131" i="2"/>
  <c r="H93" i="1"/>
  <c r="H131" i="2" s="1"/>
  <c r="G141" i="2"/>
  <c r="H103" i="1"/>
  <c r="H141" i="2" s="1"/>
  <c r="G259" i="2"/>
  <c r="H221" i="1"/>
  <c r="H259" i="2" s="1"/>
  <c r="G256" i="2"/>
  <c r="H218" i="1"/>
  <c r="H256" i="2" s="1"/>
  <c r="G135" i="2"/>
  <c r="H97" i="1"/>
  <c r="H135" i="2" s="1"/>
  <c r="G154" i="2"/>
  <c r="H116" i="1"/>
  <c r="H154" i="2" s="1"/>
  <c r="G170" i="2"/>
  <c r="H132" i="1"/>
  <c r="H170" i="2" s="1"/>
  <c r="G209" i="2"/>
  <c r="H171" i="1"/>
  <c r="H209" i="2" s="1"/>
  <c r="G104" i="2"/>
  <c r="H66" i="1"/>
  <c r="H104" i="2" s="1"/>
  <c r="G214" i="2"/>
  <c r="H176" i="1"/>
  <c r="H214" i="2" s="1"/>
  <c r="G178" i="2"/>
  <c r="H140" i="1"/>
  <c r="G60" i="2"/>
  <c r="H22" i="1"/>
  <c r="H60" i="2" s="1"/>
  <c r="G156" i="2"/>
  <c r="H118" i="1"/>
  <c r="G257" i="2"/>
  <c r="H219" i="1"/>
  <c r="H257" i="2" s="1"/>
  <c r="G207" i="2"/>
  <c r="H169" i="1"/>
  <c r="H207" i="2" s="1"/>
  <c r="G191" i="2"/>
  <c r="H153" i="1"/>
  <c r="H191" i="2" s="1"/>
  <c r="G246" i="2"/>
  <c r="H208" i="1"/>
  <c r="H246" i="2" s="1"/>
  <c r="G196" i="2"/>
  <c r="H158" i="1"/>
  <c r="H196" i="2" s="1"/>
  <c r="G75" i="2"/>
  <c r="H37" i="1"/>
  <c r="H75" i="2" s="1"/>
  <c r="G248" i="2"/>
  <c r="H210" i="1"/>
  <c r="H248" i="2" s="1"/>
  <c r="G245" i="2"/>
  <c r="H207" i="1"/>
  <c r="H245" i="2" s="1"/>
  <c r="G124" i="2"/>
  <c r="H86" i="1"/>
  <c r="H124" i="2" s="1"/>
  <c r="G143" i="2"/>
  <c r="H105" i="1"/>
  <c r="H143" i="2" s="1"/>
  <c r="G159" i="2"/>
  <c r="H121" i="1"/>
  <c r="H159" i="2" s="1"/>
  <c r="H211" i="2"/>
  <c r="G145" i="2"/>
  <c r="H107" i="1"/>
  <c r="G49" i="2"/>
  <c r="H11" i="1"/>
  <c r="H49" i="2" s="1"/>
  <c r="G136" i="2"/>
  <c r="H98" i="1"/>
  <c r="H136" i="2" s="1"/>
  <c r="G123" i="2"/>
  <c r="H85" i="1"/>
  <c r="G134" i="2"/>
  <c r="H96" i="1"/>
  <c r="H200" i="2"/>
  <c r="G263" i="2"/>
  <c r="H225" i="1"/>
  <c r="H263" i="2" s="1"/>
  <c r="G125" i="2"/>
  <c r="H87" i="1"/>
  <c r="H125" i="2" s="1"/>
  <c r="G128" i="2"/>
  <c r="H90" i="1"/>
  <c r="H128" i="2" s="1"/>
  <c r="G249" i="2"/>
  <c r="H211" i="1"/>
  <c r="H249" i="2" s="1"/>
  <c r="G262" i="2"/>
  <c r="H224" i="1"/>
  <c r="H262" i="2" s="1"/>
  <c r="G234" i="2"/>
  <c r="H196" i="1"/>
  <c r="H234" i="2" s="1"/>
  <c r="G113" i="2"/>
  <c r="H75" i="1"/>
  <c r="H113" i="2" s="1"/>
  <c r="G132" i="2"/>
  <c r="H94" i="1"/>
  <c r="H132" i="2" s="1"/>
  <c r="G137" i="2"/>
  <c r="H99" i="1"/>
  <c r="H137" i="2" s="1"/>
  <c r="G198" i="2"/>
  <c r="H160" i="1"/>
  <c r="H198" i="2" s="1"/>
  <c r="G261" i="2"/>
  <c r="H223" i="1"/>
  <c r="H261" i="2" s="1"/>
  <c r="G203" i="2"/>
  <c r="H165" i="1"/>
  <c r="H203" i="2" s="1"/>
  <c r="G238" i="2"/>
  <c r="H200" i="1"/>
  <c r="H238" i="2" s="1"/>
  <c r="G235" i="2"/>
  <c r="H197" i="1"/>
  <c r="H235" i="2" s="1"/>
  <c r="G251" i="2"/>
  <c r="H213" i="1"/>
  <c r="H251" i="2" s="1"/>
  <c r="G185" i="2"/>
  <c r="H147" i="1"/>
  <c r="H185" i="2" s="1"/>
  <c r="G115" i="2"/>
  <c r="H77" i="1"/>
  <c r="H115" i="2" s="1"/>
  <c r="G240" i="2"/>
  <c r="H202" i="1"/>
  <c r="H240" i="2" s="1"/>
  <c r="G119" i="2"/>
  <c r="H81" i="1"/>
  <c r="H119" i="2" s="1"/>
  <c r="G140" i="2"/>
  <c r="H102" i="1"/>
  <c r="H140" i="2" s="1"/>
  <c r="G212" i="2"/>
  <c r="H174" i="1"/>
  <c r="H212" i="2" s="1"/>
  <c r="G91" i="2"/>
  <c r="H53" i="1"/>
  <c r="H91" i="2" s="1"/>
  <c r="G110" i="2"/>
  <c r="H72" i="1"/>
  <c r="H110" i="2" s="1"/>
  <c r="G264" i="2"/>
  <c r="H226" i="1"/>
  <c r="H264" i="2" s="1"/>
  <c r="G187" i="2"/>
  <c r="H149" i="1"/>
  <c r="H187" i="2" s="1"/>
  <c r="G250" i="2"/>
  <c r="H212" i="1"/>
  <c r="H250" i="2" s="1"/>
  <c r="G192" i="2"/>
  <c r="H154" i="1"/>
  <c r="H192" i="2" s="1"/>
  <c r="G114" i="2"/>
  <c r="H76" i="1"/>
  <c r="H114" i="2" s="1"/>
  <c r="G112" i="2"/>
  <c r="H74" i="1"/>
  <c r="G117" i="2"/>
  <c r="H79" i="1"/>
  <c r="H117" i="2" s="1"/>
  <c r="G120" i="2"/>
  <c r="H82" i="1"/>
  <c r="H120" i="2" s="1"/>
  <c r="G227" i="2"/>
  <c r="H189" i="1"/>
  <c r="H227" i="2" s="1"/>
  <c r="G53" i="2"/>
  <c r="H15" i="1"/>
  <c r="H53" i="2" s="1"/>
  <c r="G63" i="2"/>
  <c r="H25" i="1"/>
  <c r="H63" i="2" s="1"/>
  <c r="G201" i="2"/>
  <c r="H163" i="1"/>
  <c r="H201" i="2" s="1"/>
  <c r="G80" i="2"/>
  <c r="H42" i="1"/>
  <c r="H80" i="2" s="1"/>
  <c r="G99" i="2"/>
  <c r="H61" i="1"/>
  <c r="H99" i="2" s="1"/>
  <c r="G253" i="2"/>
  <c r="H215" i="1"/>
  <c r="H253" i="2" s="1"/>
  <c r="G151" i="2"/>
  <c r="H113" i="1"/>
  <c r="H151" i="2" s="1"/>
  <c r="H189" i="2"/>
  <c r="G252" i="2"/>
  <c r="H214" i="1"/>
  <c r="H252" i="2" s="1"/>
  <c r="G106" i="2"/>
  <c r="H68" i="1"/>
  <c r="H106" i="2" s="1"/>
  <c r="G109" i="2"/>
  <c r="H71" i="1"/>
  <c r="H109" i="2" s="1"/>
  <c r="G92" i="2"/>
  <c r="H54" i="1"/>
  <c r="H92" i="2" s="1"/>
  <c r="G64" i="2"/>
  <c r="H26" i="1"/>
  <c r="H64" i="2" s="1"/>
  <c r="G55" i="2"/>
  <c r="H17" i="1"/>
  <c r="H55" i="2" s="1"/>
  <c r="G223" i="2"/>
  <c r="H185" i="1"/>
  <c r="H223" i="2" s="1"/>
  <c r="G102" i="2"/>
  <c r="H64" i="1"/>
  <c r="H102" i="2" s="1"/>
  <c r="G121" i="2"/>
  <c r="H83" i="1"/>
  <c r="H121" i="2" s="1"/>
  <c r="G239" i="2"/>
  <c r="H201" i="1"/>
  <c r="H239" i="2" s="1"/>
  <c r="G241" i="2"/>
  <c r="H203" i="1"/>
  <c r="H241" i="2" s="1"/>
  <c r="G98" i="2"/>
  <c r="H60" i="1"/>
  <c r="H98" i="2" s="1"/>
  <c r="G180" i="2"/>
  <c r="H142" i="1"/>
  <c r="H180" i="2" s="1"/>
  <c r="G70" i="2"/>
  <c r="H32" i="1"/>
  <c r="H70" i="2" s="1"/>
  <c r="G84" i="2"/>
  <c r="H46" i="1"/>
  <c r="H84" i="2" s="1"/>
  <c r="G68" i="2"/>
  <c r="H30" i="1"/>
  <c r="G216" i="2"/>
  <c r="H178" i="1"/>
  <c r="H216" i="2" s="1"/>
  <c r="G224" i="2"/>
  <c r="H186" i="1"/>
  <c r="H224" i="2" s="1"/>
  <c r="G174" i="2"/>
  <c r="H136" i="1"/>
  <c r="H174" i="2" s="1"/>
  <c r="G205" i="2"/>
  <c r="H167" i="1"/>
  <c r="H205" i="2" s="1"/>
  <c r="G229" i="2"/>
  <c r="H191" i="1"/>
  <c r="H229" i="2" s="1"/>
  <c r="G108" i="2"/>
  <c r="H70" i="1"/>
  <c r="H108" i="2" s="1"/>
  <c r="G52" i="2"/>
  <c r="H14" i="1"/>
  <c r="H52" i="2" s="1"/>
  <c r="G190" i="2"/>
  <c r="H152" i="1"/>
  <c r="H190" i="2" s="1"/>
  <c r="G69" i="2"/>
  <c r="H31" i="1"/>
  <c r="H69" i="2" s="1"/>
  <c r="G88" i="2"/>
  <c r="H50" i="1"/>
  <c r="H88" i="2" s="1"/>
  <c r="G242" i="2"/>
  <c r="H204" i="1"/>
  <c r="H242" i="2" s="1"/>
  <c r="G118" i="2"/>
  <c r="H80" i="1"/>
  <c r="H118" i="2" s="1"/>
  <c r="G194" i="2"/>
  <c r="H156" i="1"/>
  <c r="H194" i="2" s="1"/>
  <c r="G213" i="2"/>
  <c r="H175" i="1"/>
  <c r="H213" i="2" s="1"/>
  <c r="G163" i="2"/>
  <c r="H125" i="1"/>
  <c r="H163" i="2" s="1"/>
  <c r="G184" i="2"/>
  <c r="H146" i="1"/>
  <c r="H184" i="2" s="1"/>
  <c r="G181" i="2"/>
  <c r="H143" i="1"/>
  <c r="H181" i="2" s="1"/>
  <c r="G179" i="2"/>
  <c r="H141" i="1"/>
  <c r="H179" i="2" s="1"/>
  <c r="G58" i="2"/>
  <c r="H20" i="1"/>
  <c r="H58" i="2" s="1"/>
  <c r="G66" i="2"/>
  <c r="H28" i="1"/>
  <c r="H66" i="2" s="1"/>
  <c r="G231" i="2"/>
  <c r="H193" i="1"/>
  <c r="H231" i="2" s="1"/>
  <c r="G107" i="2"/>
  <c r="H69" i="1"/>
  <c r="H107" i="2" s="1"/>
  <c r="G255" i="2"/>
  <c r="H217" i="1"/>
  <c r="G169" i="2"/>
  <c r="H131" i="1"/>
  <c r="H169" i="2" s="1"/>
  <c r="G90" i="2"/>
  <c r="H52" i="1"/>
  <c r="G172" i="2"/>
  <c r="H134" i="1"/>
  <c r="H172" i="2" s="1"/>
  <c r="G59" i="2"/>
  <c r="H21" i="1"/>
  <c r="H59" i="2" s="1"/>
  <c r="G57" i="2"/>
  <c r="H19" i="1"/>
  <c r="G77" i="2"/>
  <c r="H39" i="1"/>
  <c r="H77" i="2" s="1"/>
  <c r="G183" i="2"/>
  <c r="H145" i="1"/>
  <c r="H183" i="2" s="1"/>
  <c r="G218" i="2"/>
  <c r="H180" i="1"/>
  <c r="H218" i="2" s="1"/>
  <c r="G97" i="2"/>
  <c r="H59" i="1"/>
  <c r="H97" i="2" s="1"/>
  <c r="G162" i="2"/>
  <c r="H124" i="1"/>
  <c r="H162" i="2" s="1"/>
  <c r="G93" i="2"/>
  <c r="H55" i="1"/>
  <c r="H93" i="2" s="1"/>
  <c r="G168" i="2"/>
  <c r="H130" i="1"/>
  <c r="H168" i="2" s="1"/>
  <c r="G47" i="2"/>
  <c r="H9" i="1"/>
  <c r="H47" i="2" s="1"/>
  <c r="G173" i="2"/>
  <c r="H135" i="1"/>
  <c r="H173" i="2" s="1"/>
  <c r="G85" i="2"/>
  <c r="H47" i="1"/>
  <c r="H85" i="2" s="1"/>
  <c r="G96" i="2"/>
  <c r="H58" i="1"/>
  <c r="H96" i="2" s="1"/>
  <c r="G244" i="2"/>
  <c r="H206" i="1"/>
  <c r="G161" i="2"/>
  <c r="H123" i="1"/>
  <c r="H161" i="2" s="1"/>
  <c r="G164" i="2"/>
  <c r="H126" i="1"/>
  <c r="H164" i="2" s="1"/>
  <c r="G101" i="2"/>
  <c r="H63" i="1"/>
  <c r="G48" i="2"/>
  <c r="H10" i="1"/>
  <c r="H48" i="2" s="1"/>
  <c r="G46" i="2"/>
  <c r="E35" i="2" l="1"/>
  <c r="H68" i="2"/>
  <c r="E24" i="2"/>
  <c r="D24" i="2"/>
  <c r="D35" i="2"/>
  <c r="H112" i="2"/>
  <c r="E28" i="2"/>
  <c r="D28" i="2"/>
  <c r="E34" i="2"/>
  <c r="D34" i="2"/>
  <c r="H178" i="2"/>
  <c r="H167" i="2"/>
  <c r="D33" i="2"/>
  <c r="E33" i="2"/>
  <c r="H101" i="2"/>
  <c r="E27" i="2"/>
  <c r="D27" i="2"/>
  <c r="H233" i="2"/>
  <c r="D39" i="2"/>
  <c r="E39" i="2"/>
  <c r="E36" i="2"/>
  <c r="H145" i="2"/>
  <c r="D31" i="2"/>
  <c r="E31" i="2"/>
  <c r="H79" i="2"/>
  <c r="E25" i="2"/>
  <c r="D25" i="2"/>
  <c r="D36" i="2"/>
  <c r="D37" i="2"/>
  <c r="E38" i="2"/>
  <c r="H90" i="2"/>
  <c r="E26" i="2"/>
  <c r="D26" i="2"/>
  <c r="H134" i="2"/>
  <c r="E30" i="2"/>
  <c r="D30" i="2"/>
  <c r="E37" i="2"/>
  <c r="D38" i="2"/>
  <c r="H123" i="2"/>
  <c r="E29" i="2"/>
  <c r="D29" i="2"/>
  <c r="H156" i="2"/>
  <c r="D32" i="2"/>
  <c r="E32" i="2"/>
  <c r="H57" i="2"/>
  <c r="E23" i="2"/>
  <c r="D23" i="2"/>
  <c r="H244" i="2"/>
  <c r="E40" i="2"/>
  <c r="D40" i="2"/>
  <c r="H46" i="2"/>
  <c r="C15" i="2"/>
  <c r="C14" i="2"/>
  <c r="E22" i="2"/>
  <c r="G22" i="2" s="1"/>
  <c r="C13" i="2"/>
  <c r="D22" i="2"/>
  <c r="F22" i="2" s="1"/>
  <c r="C12" i="2"/>
  <c r="C17" i="2"/>
  <c r="G7" i="2"/>
  <c r="C16" i="2"/>
  <c r="E7" i="2"/>
  <c r="E5" i="1"/>
  <c r="G5" i="1"/>
  <c r="H255" i="2"/>
  <c r="E41" i="2"/>
  <c r="D41" i="2"/>
</calcChain>
</file>

<file path=xl/sharedStrings.xml><?xml version="1.0" encoding="utf-8"?>
<sst xmlns="http://schemas.openxmlformats.org/spreadsheetml/2006/main" count="4667" uniqueCount="2204">
  <si>
    <t>達標人數 (&lt;=15%)</t>
  </si>
  <si>
    <t>超重人數 (&gt;15%)</t>
  </si>
  <si>
    <t>抽查
序號</t>
  </si>
  <si>
    <t>座號 / 學號
(請輸入)</t>
  </si>
  <si>
    <t>書包重量 (kg)
(請輸入)</t>
  </si>
  <si>
    <t>書包佔體重%
(自動計算)</t>
  </si>
  <si>
    <t>評定結果
(&lt;=15%達標)</t>
  </si>
  <si>
    <t>超重原因代號
(超重者請點選)</t>
  </si>
  <si>
    <t>備註 / 其他原因說明</t>
  </si>
  <si>
    <t>P1A</t>
  </si>
  <si>
    <t>1) 書包材質偏重</t>
  </si>
  <si>
    <t>P1B</t>
  </si>
  <si>
    <t>P1C</t>
  </si>
  <si>
    <t>P2A</t>
  </si>
  <si>
    <t>P2B</t>
  </si>
  <si>
    <t>P2C</t>
  </si>
  <si>
    <t>P3A</t>
  </si>
  <si>
    <t>P3B</t>
  </si>
  <si>
    <t>P3C</t>
  </si>
  <si>
    <t>P3D</t>
  </si>
  <si>
    <t>P4A</t>
  </si>
  <si>
    <t>P4B</t>
  </si>
  <si>
    <t>P4C</t>
  </si>
  <si>
    <t>P5A</t>
  </si>
  <si>
    <t>P5B</t>
  </si>
  <si>
    <t>P5C</t>
  </si>
  <si>
    <t>P6A</t>
  </si>
  <si>
    <t>P6B</t>
  </si>
  <si>
    <t>P6C</t>
  </si>
  <si>
    <t>P6D</t>
  </si>
  <si>
    <t>🏫 26-27 學年 學生書包秤重全校抽查即時彙整總表</t>
  </si>
  <si>
    <t>特點：本總表與『📱 各班抽查登記表』100% 即時同步。各班修改數據時，全校統計、原因占比及各班進度即時自動重算。</t>
  </si>
  <si>
    <t>一、 全校抽查即時整體指標 (100% 動態連動)</t>
  </si>
  <si>
    <t>全校抽查目標人數</t>
  </si>
  <si>
    <t>全校已測量人數</t>
  </si>
  <si>
    <t>全校達標人數 (&lt;=15%)</t>
  </si>
  <si>
    <t>全校超重人數 (&gt;15%)</t>
  </si>
  <si>
    <t>二、 全校超重原因即時統計與分布 (含『體重過輕』項)</t>
  </si>
  <si>
    <t>人數 (人)</t>
  </si>
  <si>
    <t>佔超重總人數比例 (%)</t>
  </si>
  <si>
    <t>2) 水樽材質或盛水很重</t>
  </si>
  <si>
    <t>6) 其他(須註明)</t>
  </si>
  <si>
    <t>三、 全校各班抽查即時統計一覽表 (20 班對比)</t>
  </si>
  <si>
    <t>班別</t>
  </si>
  <si>
    <t>抽查目標</t>
  </si>
  <si>
    <t>已測量人數</t>
  </si>
  <si>
    <t>達標人數</t>
  </si>
  <si>
    <t>超重人數</t>
  </si>
  <si>
    <t>班級達標率 (%)</t>
  </si>
  <si>
    <t>班級超重率 (%)</t>
  </si>
  <si>
    <t>即時狀態</t>
  </si>
  <si>
    <t>四、 全校抽查學生即時明細總表 (對應『📱 各班抽查登記表』1:1 即時連動)</t>
  </si>
  <si>
    <t>序號</t>
  </si>
  <si>
    <t>座號</t>
  </si>
  <si>
    <t>學生姓名</t>
  </si>
  <si>
    <t>體重 (kg)</t>
  </si>
  <si>
    <t>書包重 (kg)</t>
  </si>
  <si>
    <t>佔體重%</t>
  </si>
  <si>
    <t>評定結果</t>
  </si>
  <si>
    <t>超重原因代號</t>
  </si>
  <si>
    <t>備註</t>
  </si>
  <si>
    <t>💾 26-27 學年 小學部學生體重與健康數據資料庫 (633 位學生)</t>
  </si>
  <si>
    <t>檢索鍵 (班別-座號)</t>
  </si>
  <si>
    <t>性別</t>
  </si>
  <si>
    <t>年齡</t>
  </si>
  <si>
    <t>身高 (cm)</t>
  </si>
  <si>
    <t>BMI 指標</t>
  </si>
  <si>
    <t>P1A-1</t>
  </si>
  <si>
    <t>陳芊妤</t>
  </si>
  <si>
    <t>F</t>
  </si>
  <si>
    <t>P1A-2</t>
  </si>
  <si>
    <t>陳浩宇</t>
  </si>
  <si>
    <t>M</t>
  </si>
  <si>
    <t>P1A-3</t>
  </si>
  <si>
    <t>謝洛晴</t>
  </si>
  <si>
    <t>P1A-4</t>
  </si>
  <si>
    <t>鄭煒霖</t>
  </si>
  <si>
    <t>P1A-5</t>
  </si>
  <si>
    <t>張祖琛</t>
  </si>
  <si>
    <t>P1A-6</t>
  </si>
  <si>
    <t>張珈嘉</t>
  </si>
  <si>
    <t>P1A-7</t>
  </si>
  <si>
    <t>左卓熹</t>
  </si>
  <si>
    <t>P1A-8</t>
  </si>
  <si>
    <t>鄧璟熙</t>
  </si>
  <si>
    <t>P1A-9</t>
  </si>
  <si>
    <t>韓沁言</t>
  </si>
  <si>
    <t>P1A-10</t>
  </si>
  <si>
    <t>楊承佳</t>
  </si>
  <si>
    <t>P1A-11</t>
  </si>
  <si>
    <t>葉雨葵</t>
  </si>
  <si>
    <t>P1A-12</t>
  </si>
  <si>
    <t>郭芊妤</t>
  </si>
  <si>
    <t>P1A-13</t>
  </si>
  <si>
    <t>林祉芊</t>
  </si>
  <si>
    <t>P1A-14</t>
  </si>
  <si>
    <t>林博焜</t>
  </si>
  <si>
    <t>P1A-15</t>
  </si>
  <si>
    <t>劉泓熹</t>
  </si>
  <si>
    <t>P1A-16</t>
  </si>
  <si>
    <t>李梓樂</t>
  </si>
  <si>
    <t>P1A-17</t>
  </si>
  <si>
    <t>梁綺芯</t>
  </si>
  <si>
    <t>P1A-18</t>
  </si>
  <si>
    <t>梁洛妍</t>
  </si>
  <si>
    <t>P1A-19</t>
  </si>
  <si>
    <t>李晞樂</t>
  </si>
  <si>
    <t>P1A-20</t>
  </si>
  <si>
    <t>吳亦恆</t>
  </si>
  <si>
    <t>P1A-21</t>
  </si>
  <si>
    <t>吳璟軒</t>
  </si>
  <si>
    <t>P1A-22</t>
  </si>
  <si>
    <t>潘峻鎧</t>
  </si>
  <si>
    <t>P1A-23</t>
  </si>
  <si>
    <t>鄧灝妍</t>
  </si>
  <si>
    <t>P1A-24</t>
  </si>
  <si>
    <t>俞君皓</t>
  </si>
  <si>
    <t>P1A-25</t>
  </si>
  <si>
    <t>黃子橦</t>
  </si>
  <si>
    <t>P1A-26</t>
  </si>
  <si>
    <t>黃愷悠</t>
  </si>
  <si>
    <t>P1A-27</t>
  </si>
  <si>
    <t>王顥霖</t>
  </si>
  <si>
    <t>P1B-1</t>
  </si>
  <si>
    <t>鄭熙悅</t>
  </si>
  <si>
    <t>P1B-2</t>
  </si>
  <si>
    <t>鄭雅柔</t>
  </si>
  <si>
    <t>P1B-3</t>
  </si>
  <si>
    <t>張善揚</t>
  </si>
  <si>
    <t>P1B-4</t>
  </si>
  <si>
    <t>鍾梓凝</t>
  </si>
  <si>
    <t>P1B-5</t>
  </si>
  <si>
    <t>霍政宇</t>
  </si>
  <si>
    <t>P1B-6</t>
  </si>
  <si>
    <t>幸星宇</t>
  </si>
  <si>
    <t>P1B-7</t>
  </si>
  <si>
    <t>許梓晴</t>
  </si>
  <si>
    <t>P1B-8</t>
  </si>
  <si>
    <t>姚思槿</t>
  </si>
  <si>
    <t>P1B-9</t>
  </si>
  <si>
    <t>葉心玥</t>
  </si>
  <si>
    <t>P1B-10</t>
  </si>
  <si>
    <t>郭霈然</t>
  </si>
  <si>
    <t>P1B-11</t>
  </si>
  <si>
    <t>黎浩宸</t>
  </si>
  <si>
    <t>P1B-12</t>
  </si>
  <si>
    <t>林熙晨</t>
  </si>
  <si>
    <t>P1B-13</t>
  </si>
  <si>
    <t>林思雨</t>
  </si>
  <si>
    <t>P1B-14</t>
  </si>
  <si>
    <t>劉婉媛</t>
  </si>
  <si>
    <t>P1B-15</t>
  </si>
  <si>
    <t>梁俊然</t>
  </si>
  <si>
    <t>P1B-16</t>
  </si>
  <si>
    <t>梁晉滔</t>
  </si>
  <si>
    <t>P1B-17</t>
  </si>
  <si>
    <t>梁眾依</t>
  </si>
  <si>
    <t>P1B-18</t>
  </si>
  <si>
    <t>盧樂彤</t>
  </si>
  <si>
    <t>P1B-19</t>
  </si>
  <si>
    <t>區芷晴</t>
  </si>
  <si>
    <t>P1B-20</t>
  </si>
  <si>
    <t>邵柏琋</t>
  </si>
  <si>
    <t>P1B-21</t>
  </si>
  <si>
    <t>戴夕晴</t>
  </si>
  <si>
    <t>P1B-22</t>
  </si>
  <si>
    <t>溫正為</t>
  </si>
  <si>
    <t>P1B-23</t>
  </si>
  <si>
    <t>黃靖睿</t>
  </si>
  <si>
    <t>P1B-24</t>
  </si>
  <si>
    <t>黃聖學</t>
  </si>
  <si>
    <t>P1B-25</t>
  </si>
  <si>
    <t>王為銘</t>
  </si>
  <si>
    <t>P1B-26</t>
  </si>
  <si>
    <t>黃泳琳</t>
  </si>
  <si>
    <t>P1B-27</t>
  </si>
  <si>
    <t>吳俊傑</t>
  </si>
  <si>
    <t>P1B-28</t>
  </si>
  <si>
    <t>余紹杰</t>
  </si>
  <si>
    <t>P1C-1</t>
  </si>
  <si>
    <t>歐陽昊謙</t>
  </si>
  <si>
    <t>P1C-2</t>
  </si>
  <si>
    <t>陳凱傑</t>
  </si>
  <si>
    <t>P1C-3</t>
  </si>
  <si>
    <t>陳芮萌</t>
  </si>
  <si>
    <t>P1C-4</t>
  </si>
  <si>
    <t>陳玉恆</t>
  </si>
  <si>
    <t>P1C-5</t>
  </si>
  <si>
    <t>陳銘恩</t>
  </si>
  <si>
    <t>P1C-6</t>
  </si>
  <si>
    <t>張晞雯</t>
  </si>
  <si>
    <t>P1C-7</t>
  </si>
  <si>
    <t>高宇馨</t>
  </si>
  <si>
    <t>P1C-8</t>
  </si>
  <si>
    <t>何穎喬</t>
  </si>
  <si>
    <t>P1C-9</t>
  </si>
  <si>
    <t>黃竟彬</t>
  </si>
  <si>
    <t>P1C-10</t>
  </si>
  <si>
    <t>郭鈺琛</t>
  </si>
  <si>
    <t>P1C-11</t>
  </si>
  <si>
    <t>郭政皓</t>
  </si>
  <si>
    <t>P1C-12</t>
  </si>
  <si>
    <t>林羽蕎</t>
  </si>
  <si>
    <t>P1C-13</t>
  </si>
  <si>
    <t>劉皓洋</t>
  </si>
  <si>
    <t>P1C-14</t>
  </si>
  <si>
    <t>李君揚</t>
  </si>
  <si>
    <t>P1C-15</t>
  </si>
  <si>
    <t>梁愷謙</t>
  </si>
  <si>
    <t>P1C-16</t>
  </si>
  <si>
    <t>梁詠瑩</t>
  </si>
  <si>
    <t>P1C-17</t>
  </si>
  <si>
    <t>李媛</t>
  </si>
  <si>
    <t>P1C-18</t>
  </si>
  <si>
    <t>吳凡</t>
  </si>
  <si>
    <t>P1C-19</t>
  </si>
  <si>
    <t>吳灝軒</t>
  </si>
  <si>
    <t>P1C-20</t>
  </si>
  <si>
    <t>吳天望</t>
  </si>
  <si>
    <t>P1C-21</t>
  </si>
  <si>
    <t>吳宇桐</t>
  </si>
  <si>
    <t>P1C-22</t>
  </si>
  <si>
    <t>吳詠曦</t>
  </si>
  <si>
    <t>P1C-23</t>
  </si>
  <si>
    <t>董子芊</t>
  </si>
  <si>
    <t>P1C-24</t>
  </si>
  <si>
    <t>湯芷煣</t>
  </si>
  <si>
    <t>P1C-25</t>
  </si>
  <si>
    <t>湯芷燁</t>
  </si>
  <si>
    <t>P1C-26</t>
  </si>
  <si>
    <t>黃桂洪</t>
  </si>
  <si>
    <t>P1C-27</t>
  </si>
  <si>
    <t>王明韜</t>
  </si>
  <si>
    <t>P1C-28</t>
  </si>
  <si>
    <t>黃心睿</t>
  </si>
  <si>
    <t>P1C-29</t>
  </si>
  <si>
    <t>黃婉盈</t>
  </si>
  <si>
    <t>P2A-1</t>
  </si>
  <si>
    <t>歐芷縈</t>
  </si>
  <si>
    <t>P2A-2</t>
  </si>
  <si>
    <t>陳美晴</t>
  </si>
  <si>
    <t>P2A-3</t>
  </si>
  <si>
    <t>陳泳錡</t>
  </si>
  <si>
    <t>P2A-4</t>
  </si>
  <si>
    <t>陳浩家</t>
  </si>
  <si>
    <t>P2A-5</t>
  </si>
  <si>
    <t>蔡淼宸</t>
  </si>
  <si>
    <t>P2A-6</t>
  </si>
  <si>
    <t>霍智培</t>
  </si>
  <si>
    <t>P2A-7</t>
  </si>
  <si>
    <t>夏朗淏</t>
  </si>
  <si>
    <t>P2A-8</t>
  </si>
  <si>
    <t>何卓恆</t>
  </si>
  <si>
    <t>P2A-9</t>
  </si>
  <si>
    <t>何倩熒</t>
  </si>
  <si>
    <t>P2A-10</t>
  </si>
  <si>
    <t>黃宇宸</t>
  </si>
  <si>
    <t>P2A-11</t>
  </si>
  <si>
    <t>楊樂柔</t>
  </si>
  <si>
    <t>P2A-12</t>
  </si>
  <si>
    <t>江宇傑</t>
  </si>
  <si>
    <t>P2A-13</t>
  </si>
  <si>
    <t>李卓謙</t>
  </si>
  <si>
    <t>P2A-14</t>
  </si>
  <si>
    <t>李君玥</t>
  </si>
  <si>
    <t>P2A-15</t>
  </si>
  <si>
    <t>李樂兒</t>
  </si>
  <si>
    <t>P2A-16</t>
  </si>
  <si>
    <t>李天浩</t>
  </si>
  <si>
    <t>P2A-17</t>
  </si>
  <si>
    <t>梁梓豪</t>
  </si>
  <si>
    <t>P2A-18</t>
  </si>
  <si>
    <t>廖允喬</t>
  </si>
  <si>
    <t>P2A-19</t>
  </si>
  <si>
    <t>羅韻潼</t>
  </si>
  <si>
    <t>P2A-20</t>
  </si>
  <si>
    <t>麥睿廷</t>
  </si>
  <si>
    <t>P2A-21</t>
  </si>
  <si>
    <t>毛芷棋</t>
  </si>
  <si>
    <t>P2A-22</t>
  </si>
  <si>
    <t>柯安宜</t>
  </si>
  <si>
    <t>P2A-23</t>
  </si>
  <si>
    <t>潘梓謙</t>
  </si>
  <si>
    <t>P2A-24</t>
  </si>
  <si>
    <t>杜曉慧</t>
  </si>
  <si>
    <t>P2A-25</t>
  </si>
  <si>
    <t>謝錫麟</t>
  </si>
  <si>
    <t>P2A-26</t>
  </si>
  <si>
    <t>余承峰</t>
  </si>
  <si>
    <t>P2A-27</t>
  </si>
  <si>
    <t>吳梓慧</t>
  </si>
  <si>
    <t>P2A-28</t>
  </si>
  <si>
    <t>黃玥喬</t>
  </si>
  <si>
    <t>P2A-29</t>
  </si>
  <si>
    <t>巫錦霖</t>
  </si>
  <si>
    <t>P2A-30</t>
  </si>
  <si>
    <t>朱洛妍</t>
  </si>
  <si>
    <t>P2B-1</t>
  </si>
  <si>
    <t>陳澤信</t>
  </si>
  <si>
    <t>P2B-2</t>
  </si>
  <si>
    <t>陳霆烽</t>
  </si>
  <si>
    <t>P2B-3</t>
  </si>
  <si>
    <t>鄭竣彥</t>
  </si>
  <si>
    <t>P2B-4</t>
  </si>
  <si>
    <t>張奕騫</t>
  </si>
  <si>
    <t>P2B-5</t>
  </si>
  <si>
    <t>鍾卓潼</t>
  </si>
  <si>
    <t>P2B-6</t>
  </si>
  <si>
    <t>鍾沁榆</t>
  </si>
  <si>
    <t>P2B-7</t>
  </si>
  <si>
    <t>何鈞朗</t>
  </si>
  <si>
    <t>P2B-8</t>
  </si>
  <si>
    <t>黃睿晞</t>
  </si>
  <si>
    <t>P2B-9</t>
  </si>
  <si>
    <t>容嘉倩</t>
  </si>
  <si>
    <t>P2B-10</t>
  </si>
  <si>
    <t>林芊潼</t>
  </si>
  <si>
    <t>P2B-11</t>
  </si>
  <si>
    <t>李梓瑤</t>
  </si>
  <si>
    <t>P2B-12</t>
  </si>
  <si>
    <t>李昕桐</t>
  </si>
  <si>
    <t>P2B-13</t>
  </si>
  <si>
    <t>李悅而</t>
  </si>
  <si>
    <t>P2B-14</t>
  </si>
  <si>
    <t>李思泳</t>
  </si>
  <si>
    <t>P2B-15</t>
  </si>
  <si>
    <t>羅荻宏</t>
  </si>
  <si>
    <t>P2B-16</t>
  </si>
  <si>
    <t>呂彥信</t>
  </si>
  <si>
    <t>P2B-17</t>
  </si>
  <si>
    <t>盧琛元</t>
  </si>
  <si>
    <t>P2B-18</t>
  </si>
  <si>
    <t>麥芷瑜</t>
  </si>
  <si>
    <t>P2B-19</t>
  </si>
  <si>
    <t>吳芯玥</t>
  </si>
  <si>
    <t>P2B-20</t>
  </si>
  <si>
    <t>吳宛峰</t>
  </si>
  <si>
    <t>P2B-21</t>
  </si>
  <si>
    <t>余靖恩</t>
  </si>
  <si>
    <t>P2B-22</t>
  </si>
  <si>
    <t>余祉君</t>
  </si>
  <si>
    <t>P2B-23</t>
  </si>
  <si>
    <t>黃淽馨</t>
  </si>
  <si>
    <t>P2B-24</t>
  </si>
  <si>
    <t>黃琮皓</t>
  </si>
  <si>
    <t>P2B-25</t>
  </si>
  <si>
    <t>王依雯</t>
  </si>
  <si>
    <t>P2B-26</t>
  </si>
  <si>
    <t>黃欽皓</t>
  </si>
  <si>
    <t>P2B-27</t>
  </si>
  <si>
    <t>王韶成</t>
  </si>
  <si>
    <t>P2B-28</t>
  </si>
  <si>
    <t>黃語芯</t>
  </si>
  <si>
    <t>P2B-29</t>
  </si>
  <si>
    <t>張鉦晞</t>
  </si>
  <si>
    <t>P2B-30</t>
  </si>
  <si>
    <t>鄭泳賢</t>
  </si>
  <si>
    <t>P2C-1</t>
  </si>
  <si>
    <t>陳梓睿</t>
  </si>
  <si>
    <t>P2C-2</t>
  </si>
  <si>
    <t>謝卓凝</t>
  </si>
  <si>
    <t>P2C-3</t>
  </si>
  <si>
    <t>張芯瑜</t>
  </si>
  <si>
    <t>P2C-4</t>
  </si>
  <si>
    <t>鍾宇翔</t>
  </si>
  <si>
    <t>P2C-5</t>
  </si>
  <si>
    <t>曹詩羽</t>
  </si>
  <si>
    <t>P2C-6</t>
  </si>
  <si>
    <t>霍政熙</t>
  </si>
  <si>
    <t>P2C-7</t>
  </si>
  <si>
    <t>馮皓朗</t>
  </si>
  <si>
    <t>P2C-8</t>
  </si>
  <si>
    <t>任淏楠</t>
  </si>
  <si>
    <t>P2C-9</t>
  </si>
  <si>
    <t>葉梓瑜</t>
  </si>
  <si>
    <t>P2C-10</t>
  </si>
  <si>
    <t>黎司皓</t>
  </si>
  <si>
    <t>P2C-11</t>
  </si>
  <si>
    <t>李梓鋒</t>
  </si>
  <si>
    <t>P2C-12</t>
  </si>
  <si>
    <t>李芊玥</t>
  </si>
  <si>
    <t>P2C-13</t>
  </si>
  <si>
    <t>李俊謙</t>
  </si>
  <si>
    <t>P2C-14</t>
  </si>
  <si>
    <t>李晞語</t>
  </si>
  <si>
    <t>P2C-15</t>
  </si>
  <si>
    <t>李盈霏</t>
  </si>
  <si>
    <t>P2C-16</t>
  </si>
  <si>
    <t>劉璟芯</t>
  </si>
  <si>
    <t>P2C-17</t>
  </si>
  <si>
    <t>羅丞均</t>
  </si>
  <si>
    <t>P2C-18</t>
  </si>
  <si>
    <t>駱一宇</t>
  </si>
  <si>
    <t>P2C-19</t>
  </si>
  <si>
    <t>龍詩玥</t>
  </si>
  <si>
    <t>P2C-20</t>
  </si>
  <si>
    <t>白梓琪</t>
  </si>
  <si>
    <t>P2C-21</t>
  </si>
  <si>
    <t>施柏濠</t>
  </si>
  <si>
    <t>P2C-22</t>
  </si>
  <si>
    <t>施悅昊</t>
  </si>
  <si>
    <t>P2C-23</t>
  </si>
  <si>
    <t>蘇子灃</t>
  </si>
  <si>
    <t>P2C-24</t>
  </si>
  <si>
    <t>孫希語</t>
  </si>
  <si>
    <t>P2C-25</t>
  </si>
  <si>
    <t>鄧心妤</t>
  </si>
  <si>
    <t>P2C-26</t>
  </si>
  <si>
    <t>曾珈怡</t>
  </si>
  <si>
    <t>P2C-27</t>
  </si>
  <si>
    <t>黃婧童</t>
  </si>
  <si>
    <t>P2C-28</t>
  </si>
  <si>
    <t>黃梓羲</t>
  </si>
  <si>
    <t>P2C-29</t>
  </si>
  <si>
    <t>黃雍銘</t>
  </si>
  <si>
    <t>P2C-30</t>
  </si>
  <si>
    <t>謝依菲</t>
  </si>
  <si>
    <t>P3A-1</t>
  </si>
  <si>
    <t>歐駿恆</t>
  </si>
  <si>
    <t>P3A-2</t>
  </si>
  <si>
    <t>區穎朗</t>
  </si>
  <si>
    <t>P3A-3</t>
  </si>
  <si>
    <t>陳彥昇</t>
  </si>
  <si>
    <t>P3A-4</t>
  </si>
  <si>
    <t>鄭鎧澄</t>
  </si>
  <si>
    <t>P3A-5</t>
  </si>
  <si>
    <t>方灝信</t>
  </si>
  <si>
    <t>P3A-6</t>
  </si>
  <si>
    <t>馮煒謙</t>
  </si>
  <si>
    <t>P3A-7</t>
  </si>
  <si>
    <t>幸戀一</t>
  </si>
  <si>
    <t>P3A-8</t>
  </si>
  <si>
    <t>許宸睿</t>
  </si>
  <si>
    <t>P3A-9</t>
  </si>
  <si>
    <t>關芯悅</t>
  </si>
  <si>
    <t>P3A-10</t>
  </si>
  <si>
    <t>郭詩宇</t>
  </si>
  <si>
    <t>P3A-11</t>
  </si>
  <si>
    <t>黎婧妍</t>
  </si>
  <si>
    <t>P3A-12</t>
  </si>
  <si>
    <t>林日朗</t>
  </si>
  <si>
    <t>P3A-13</t>
  </si>
  <si>
    <t>李康榮</t>
  </si>
  <si>
    <t>P3A-14</t>
  </si>
  <si>
    <t>李晞遙</t>
  </si>
  <si>
    <t>P3A-15</t>
  </si>
  <si>
    <t>連昊賢</t>
  </si>
  <si>
    <t>P3A-16</t>
  </si>
  <si>
    <t>林睿恆</t>
  </si>
  <si>
    <t>P3A-17</t>
  </si>
  <si>
    <t>呂俊霖</t>
  </si>
  <si>
    <t>P3A-18</t>
  </si>
  <si>
    <t>吳天慈</t>
  </si>
  <si>
    <t>P3A-19</t>
  </si>
  <si>
    <t>吳妤桐</t>
  </si>
  <si>
    <t>P3A-20</t>
  </si>
  <si>
    <t>吳詠珊</t>
  </si>
  <si>
    <t>P3A-21</t>
  </si>
  <si>
    <t>白曉謙</t>
  </si>
  <si>
    <t>P3A-22</t>
  </si>
  <si>
    <t>彭夏甯</t>
  </si>
  <si>
    <t>P3A-23</t>
  </si>
  <si>
    <t>蘇玥澄</t>
  </si>
  <si>
    <t>P3A-24</t>
  </si>
  <si>
    <t>曾雪琳</t>
  </si>
  <si>
    <t>P3A-25</t>
  </si>
  <si>
    <t>王語寧</t>
  </si>
  <si>
    <t>P3A-26</t>
  </si>
  <si>
    <t>王靖皓</t>
  </si>
  <si>
    <t>P3A-27</t>
  </si>
  <si>
    <t>黃芊滺</t>
  </si>
  <si>
    <t>P3A-28</t>
  </si>
  <si>
    <t>黃泳桐</t>
  </si>
  <si>
    <t>P3A-29</t>
  </si>
  <si>
    <t>楊梓僑</t>
  </si>
  <si>
    <t>P3B-1</t>
  </si>
  <si>
    <t>陳貝甄</t>
  </si>
  <si>
    <t>P3B-2</t>
  </si>
  <si>
    <t>陳思霆</t>
  </si>
  <si>
    <t>P3B-3</t>
  </si>
  <si>
    <t>鄭詠芊</t>
  </si>
  <si>
    <t>P3B-4</t>
  </si>
  <si>
    <t>陳韜列</t>
  </si>
  <si>
    <t>P3B-5</t>
  </si>
  <si>
    <t>程凱彤</t>
  </si>
  <si>
    <t>P3B-6</t>
  </si>
  <si>
    <t>鄭宇心</t>
  </si>
  <si>
    <t>P3B-7</t>
  </si>
  <si>
    <t>張俊軒</t>
  </si>
  <si>
    <t>P3B-8</t>
  </si>
  <si>
    <t>趙禹陽</t>
  </si>
  <si>
    <t>P3B-9</t>
  </si>
  <si>
    <t>何俊宇</t>
  </si>
  <si>
    <t>P3B-10</t>
  </si>
  <si>
    <t>何常燁</t>
  </si>
  <si>
    <t>P3B-11</t>
  </si>
  <si>
    <t>黃泓熙</t>
  </si>
  <si>
    <t>P3B-12</t>
  </si>
  <si>
    <t>甘皓信</t>
  </si>
  <si>
    <t>P3B-13</t>
  </si>
  <si>
    <t>高梓軒</t>
  </si>
  <si>
    <t>P3B-14</t>
  </si>
  <si>
    <t>賴景瑜</t>
  </si>
  <si>
    <t>P3B-15</t>
  </si>
  <si>
    <t>林子宏</t>
  </si>
  <si>
    <t>P3B-16</t>
  </si>
  <si>
    <t>林業朗</t>
  </si>
  <si>
    <t>P3B-17</t>
  </si>
  <si>
    <t>梁俊毅</t>
  </si>
  <si>
    <t>P3B-18</t>
  </si>
  <si>
    <t>李曉鋒</t>
  </si>
  <si>
    <t>P3B-19</t>
  </si>
  <si>
    <t>林妤喬</t>
  </si>
  <si>
    <t>P3B-20</t>
  </si>
  <si>
    <t>劉家歡</t>
  </si>
  <si>
    <t>P3B-21</t>
  </si>
  <si>
    <t>吳灝朗</t>
  </si>
  <si>
    <t>P3B-22</t>
  </si>
  <si>
    <t>牛仲秋</t>
  </si>
  <si>
    <t>P3B-23</t>
  </si>
  <si>
    <t>潘詠詩</t>
  </si>
  <si>
    <t>P3B-24</t>
  </si>
  <si>
    <t>史宏烯</t>
  </si>
  <si>
    <t>P3B-25</t>
  </si>
  <si>
    <t>王嘉瑤</t>
  </si>
  <si>
    <t>P3B-26</t>
  </si>
  <si>
    <t>黃晞雯</t>
  </si>
  <si>
    <t>P3B-27</t>
  </si>
  <si>
    <t>黃羽棠</t>
  </si>
  <si>
    <t>P3B-28</t>
  </si>
  <si>
    <t>吳凱琳</t>
  </si>
  <si>
    <t>P3B-29</t>
  </si>
  <si>
    <t>胡皓宇</t>
  </si>
  <si>
    <t>P3B-30</t>
  </si>
  <si>
    <t>謝康瑩</t>
  </si>
  <si>
    <t>P3B-31</t>
  </si>
  <si>
    <t>鍾汶晞</t>
  </si>
  <si>
    <t>P3C-1</t>
  </si>
  <si>
    <t>歐海甯</t>
  </si>
  <si>
    <t>P3C-2</t>
  </si>
  <si>
    <t>陳希茹</t>
  </si>
  <si>
    <t>P3C-3</t>
  </si>
  <si>
    <t>周依依</t>
  </si>
  <si>
    <t>P3C-4</t>
  </si>
  <si>
    <t>鄭雯月</t>
  </si>
  <si>
    <t>P3C-5</t>
  </si>
  <si>
    <t>鄭子航</t>
  </si>
  <si>
    <t>P3C-6</t>
  </si>
  <si>
    <t>程詩玲</t>
  </si>
  <si>
    <t>P3C-7</t>
  </si>
  <si>
    <t>樊俊曦</t>
  </si>
  <si>
    <t>P3C-8</t>
  </si>
  <si>
    <t>何浚銘</t>
  </si>
  <si>
    <t>P3C-9</t>
  </si>
  <si>
    <t>嚴鈞柏</t>
  </si>
  <si>
    <t>P3C-10</t>
  </si>
  <si>
    <t>甘俊澔</t>
  </si>
  <si>
    <t>P3C-11</t>
  </si>
  <si>
    <t>關穎瑤</t>
  </si>
  <si>
    <t>P3C-12</t>
  </si>
  <si>
    <t>李倬樂</t>
  </si>
  <si>
    <t>P3C-13</t>
  </si>
  <si>
    <t>李俊陞</t>
  </si>
  <si>
    <t>P3C-14</t>
  </si>
  <si>
    <t>李沛芝</t>
  </si>
  <si>
    <t>P3C-15</t>
  </si>
  <si>
    <t>李佩恩</t>
  </si>
  <si>
    <t>P3C-16</t>
  </si>
  <si>
    <t>梁子軒</t>
  </si>
  <si>
    <t>P3C-17</t>
  </si>
  <si>
    <t>梁民慧</t>
  </si>
  <si>
    <t>P3C-18</t>
  </si>
  <si>
    <t>梁世軒</t>
  </si>
  <si>
    <t>P3C-19</t>
  </si>
  <si>
    <t>盧佶希</t>
  </si>
  <si>
    <t>P3C-20</t>
  </si>
  <si>
    <t>馬浩曦</t>
  </si>
  <si>
    <t>P3C-21</t>
  </si>
  <si>
    <t>吳玥潼</t>
  </si>
  <si>
    <t>P3C-22</t>
  </si>
  <si>
    <t>覃偉海</t>
  </si>
  <si>
    <t>P3C-23</t>
  </si>
  <si>
    <t>冼子浩</t>
  </si>
  <si>
    <t>P3C-24</t>
  </si>
  <si>
    <t>蕭睿恆</t>
  </si>
  <si>
    <t>P3C-25</t>
  </si>
  <si>
    <t>邵睿晞</t>
  </si>
  <si>
    <t>P3C-26</t>
  </si>
  <si>
    <t>黃珍妮</t>
  </si>
  <si>
    <t>P3C-27</t>
  </si>
  <si>
    <t>黃凌菲</t>
  </si>
  <si>
    <t>P3C-28</t>
  </si>
  <si>
    <t>黃順銘</t>
  </si>
  <si>
    <t>P3C-29</t>
  </si>
  <si>
    <t>鍾可瀅</t>
  </si>
  <si>
    <t>P3D-1</t>
  </si>
  <si>
    <t>歐陽語甜</t>
  </si>
  <si>
    <t>P3D-2</t>
  </si>
  <si>
    <t>陳梓朗</t>
  </si>
  <si>
    <t>P3D-3</t>
  </si>
  <si>
    <t>曾焯宇</t>
  </si>
  <si>
    <t>P3D-4</t>
  </si>
  <si>
    <t>鄒浩言</t>
  </si>
  <si>
    <t>P3D-5</t>
  </si>
  <si>
    <t>鄭舜楠</t>
  </si>
  <si>
    <t>P3D-6</t>
  </si>
  <si>
    <t>陳梓樂</t>
  </si>
  <si>
    <t>P3D-7</t>
  </si>
  <si>
    <t>趙健豪</t>
  </si>
  <si>
    <t>P3D-8</t>
  </si>
  <si>
    <t>曹允晴</t>
  </si>
  <si>
    <t>P3D-9</t>
  </si>
  <si>
    <t>朱灝延</t>
  </si>
  <si>
    <t>P3D-10</t>
  </si>
  <si>
    <t>朱佩妍</t>
  </si>
  <si>
    <t>P3D-11</t>
  </si>
  <si>
    <t>甘彥瑤</t>
  </si>
  <si>
    <t>P3D-12</t>
  </si>
  <si>
    <t>古惠瑤</t>
  </si>
  <si>
    <t>P3D-13</t>
  </si>
  <si>
    <t>許樂晴</t>
  </si>
  <si>
    <t>P3D-14</t>
  </si>
  <si>
    <t>林仟鴻</t>
  </si>
  <si>
    <t>P3D-15</t>
  </si>
  <si>
    <t>連伊琳</t>
  </si>
  <si>
    <t>P3D-16</t>
  </si>
  <si>
    <t>羅文浩</t>
  </si>
  <si>
    <t>P3D-17</t>
  </si>
  <si>
    <t>陸俊賢</t>
  </si>
  <si>
    <t>P3D-18</t>
  </si>
  <si>
    <t>龍嘉璦</t>
  </si>
  <si>
    <t>P3D-19</t>
  </si>
  <si>
    <t>盧穎寶</t>
  </si>
  <si>
    <t>P3D-20</t>
  </si>
  <si>
    <t>楊壹</t>
  </si>
  <si>
    <t>P3D-21</t>
  </si>
  <si>
    <t>吳可芯</t>
  </si>
  <si>
    <t>P3D-22</t>
  </si>
  <si>
    <t>顏梓峻</t>
  </si>
  <si>
    <t>P3D-23</t>
  </si>
  <si>
    <t>彭愷盈</t>
  </si>
  <si>
    <t>P3D-24</t>
  </si>
  <si>
    <t>彭朗然</t>
  </si>
  <si>
    <t>P3D-25</t>
  </si>
  <si>
    <t>施淘悅</t>
  </si>
  <si>
    <t>P3D-26</t>
  </si>
  <si>
    <t>蘇湋博</t>
  </si>
  <si>
    <t>P3D-27</t>
  </si>
  <si>
    <t>黃柏賢</t>
  </si>
  <si>
    <t>P3D-28</t>
  </si>
  <si>
    <t>吳梓謙</t>
  </si>
  <si>
    <t>P3D-29</t>
  </si>
  <si>
    <t>楊子萱</t>
  </si>
  <si>
    <t>P3D-30</t>
  </si>
  <si>
    <t>鍾可澄</t>
  </si>
  <si>
    <t>P4A-1</t>
  </si>
  <si>
    <t>陳芷晴</t>
  </si>
  <si>
    <t>P4A-2</t>
  </si>
  <si>
    <t>周晉弘</t>
  </si>
  <si>
    <t>P4A-3</t>
  </si>
  <si>
    <t>鄭凱朗</t>
  </si>
  <si>
    <t>P4A-4</t>
  </si>
  <si>
    <t>鄭敏兒</t>
  </si>
  <si>
    <t>P4A-5</t>
  </si>
  <si>
    <t>鄭泳欣</t>
  </si>
  <si>
    <t>P4A-6</t>
  </si>
  <si>
    <t>陳靜萱</t>
  </si>
  <si>
    <t>P4A-7</t>
  </si>
  <si>
    <t>張雅雯</t>
  </si>
  <si>
    <t>P4A-8</t>
  </si>
  <si>
    <t>徐芯悠</t>
  </si>
  <si>
    <t>P4A-9</t>
  </si>
  <si>
    <t>鍾俊晨</t>
  </si>
  <si>
    <t>P4A-10</t>
  </si>
  <si>
    <t>何佩珊</t>
  </si>
  <si>
    <t>P4A-11</t>
  </si>
  <si>
    <t>何偉謙</t>
  </si>
  <si>
    <t>P4A-12</t>
  </si>
  <si>
    <t>孔心穎</t>
  </si>
  <si>
    <t>P4A-13</t>
  </si>
  <si>
    <t>葉嘉熙</t>
  </si>
  <si>
    <t>P4A-14</t>
  </si>
  <si>
    <t>葉永盛</t>
  </si>
  <si>
    <t>P4A-15</t>
  </si>
  <si>
    <t>關子鵬</t>
  </si>
  <si>
    <t>P4A-16</t>
  </si>
  <si>
    <t>黎俊宇</t>
  </si>
  <si>
    <t>P4A-17</t>
  </si>
  <si>
    <t>林灝揚</t>
  </si>
  <si>
    <t>P4A-18</t>
  </si>
  <si>
    <t>劉文樂</t>
  </si>
  <si>
    <t>P4A-19</t>
  </si>
  <si>
    <t>李卓朗</t>
  </si>
  <si>
    <t>P4A-20</t>
  </si>
  <si>
    <t>李沛津</t>
  </si>
  <si>
    <t>P4A-21</t>
  </si>
  <si>
    <t>梁仟悠</t>
  </si>
  <si>
    <t>P4A-22</t>
  </si>
  <si>
    <t>梁灝礽</t>
  </si>
  <si>
    <t>P4A-23</t>
  </si>
  <si>
    <t>莫芷詠</t>
  </si>
  <si>
    <t>P4A-24</t>
  </si>
  <si>
    <t>鮑駿棋</t>
  </si>
  <si>
    <t>P4A-25</t>
  </si>
  <si>
    <t>任尚佳</t>
  </si>
  <si>
    <t>P4A-26</t>
  </si>
  <si>
    <t>阮芷琪</t>
  </si>
  <si>
    <t>P4A-27</t>
  </si>
  <si>
    <t>戴詠玥</t>
  </si>
  <si>
    <t>P4A-28</t>
  </si>
  <si>
    <t>鄧芷柔</t>
  </si>
  <si>
    <t>P4A-29</t>
  </si>
  <si>
    <t>黃婧喬</t>
  </si>
  <si>
    <t>P4A-30</t>
  </si>
  <si>
    <t>黃卓恆</t>
  </si>
  <si>
    <t>P4A-31</t>
  </si>
  <si>
    <t>黃梓希</t>
  </si>
  <si>
    <t>P4A-32</t>
  </si>
  <si>
    <t>黃翊灃</t>
  </si>
  <si>
    <t>P4A-33</t>
  </si>
  <si>
    <t>黃佳欣</t>
  </si>
  <si>
    <t>P4A-34</t>
  </si>
  <si>
    <t>王芯悅</t>
  </si>
  <si>
    <t>P4B-1</t>
  </si>
  <si>
    <t>歐陽延泓</t>
  </si>
  <si>
    <t>P4B-2</t>
  </si>
  <si>
    <t>陳紫禧</t>
  </si>
  <si>
    <t>P4B-3</t>
  </si>
  <si>
    <t>陳塏灃</t>
  </si>
  <si>
    <t>P4B-4</t>
  </si>
  <si>
    <t>陳暟曈</t>
  </si>
  <si>
    <t>P4B-5</t>
  </si>
  <si>
    <t>陳樂悠</t>
  </si>
  <si>
    <t>P4B-6</t>
  </si>
  <si>
    <t>張汶禧</t>
  </si>
  <si>
    <t>P4B-7</t>
  </si>
  <si>
    <t>張家豪</t>
  </si>
  <si>
    <t>P4B-8</t>
  </si>
  <si>
    <t>蔡文堅</t>
  </si>
  <si>
    <t>P4B-9</t>
  </si>
  <si>
    <t>崔允僖</t>
  </si>
  <si>
    <t>P4B-10</t>
  </si>
  <si>
    <t>庄世炫</t>
  </si>
  <si>
    <t>P4B-11</t>
  </si>
  <si>
    <t>何雅雯</t>
  </si>
  <si>
    <t>P4B-12</t>
  </si>
  <si>
    <t>許城浩</t>
  </si>
  <si>
    <t>P4B-13</t>
  </si>
  <si>
    <t>姚梓軒</t>
  </si>
  <si>
    <t>P4B-14</t>
  </si>
  <si>
    <t>關鈺婷</t>
  </si>
  <si>
    <t>P4B-15</t>
  </si>
  <si>
    <t>郭梓宜</t>
  </si>
  <si>
    <t>P4B-16</t>
  </si>
  <si>
    <t>郭曉朗</t>
  </si>
  <si>
    <t>P4B-17</t>
  </si>
  <si>
    <t>林右宜</t>
  </si>
  <si>
    <t>P4B-18</t>
  </si>
  <si>
    <t>林家樂</t>
  </si>
  <si>
    <t>P4B-19</t>
  </si>
  <si>
    <t>李樂康</t>
  </si>
  <si>
    <t>P4B-20</t>
  </si>
  <si>
    <t>李詩瑤</t>
  </si>
  <si>
    <t>P4B-21</t>
  </si>
  <si>
    <t>梁芯瑤</t>
  </si>
  <si>
    <t>P4B-22</t>
  </si>
  <si>
    <t>羅硯姝</t>
  </si>
  <si>
    <t>P4B-23</t>
  </si>
  <si>
    <t>羅詩晴</t>
  </si>
  <si>
    <t>P4B-24</t>
  </si>
  <si>
    <t>羅詩羽</t>
  </si>
  <si>
    <t>P4B-25</t>
  </si>
  <si>
    <t>麥芯瑜</t>
  </si>
  <si>
    <t>P4B-26</t>
  </si>
  <si>
    <t>柯依晴</t>
  </si>
  <si>
    <t>P4B-27</t>
  </si>
  <si>
    <t>潘楚瑩</t>
  </si>
  <si>
    <t>P4B-28</t>
  </si>
  <si>
    <t>戴綺晨</t>
  </si>
  <si>
    <t>P4B-29</t>
  </si>
  <si>
    <t>譚羿華</t>
  </si>
  <si>
    <t>P4B-30</t>
  </si>
  <si>
    <t>鄧睿曦</t>
  </si>
  <si>
    <t>P4B-31</t>
  </si>
  <si>
    <t>余建良</t>
  </si>
  <si>
    <t>P4B-32</t>
  </si>
  <si>
    <t>黃彥曦</t>
  </si>
  <si>
    <t>P4B-33</t>
  </si>
  <si>
    <t>謝康琪</t>
  </si>
  <si>
    <t>P4C-1</t>
  </si>
  <si>
    <t>陳梓柔</t>
  </si>
  <si>
    <t>P4C-2</t>
  </si>
  <si>
    <t>陳希玥</t>
  </si>
  <si>
    <t>P4C-3</t>
  </si>
  <si>
    <t>陳懿柔</t>
  </si>
  <si>
    <t>P4C-4</t>
  </si>
  <si>
    <t>陳玉霖</t>
  </si>
  <si>
    <t>P4C-5</t>
  </si>
  <si>
    <t>陳樂縉</t>
  </si>
  <si>
    <t>P4C-6</t>
  </si>
  <si>
    <t>陳穎童</t>
  </si>
  <si>
    <t>P4C-7</t>
  </si>
  <si>
    <t>曾嵐筠</t>
  </si>
  <si>
    <t>P4C-8</t>
  </si>
  <si>
    <t>周嘉倩</t>
  </si>
  <si>
    <t>P4C-9</t>
  </si>
  <si>
    <t>鄭雯謠</t>
  </si>
  <si>
    <t>P4C-10</t>
  </si>
  <si>
    <t>徐焯賢</t>
  </si>
  <si>
    <t>P4C-11</t>
  </si>
  <si>
    <t>馮宇婷</t>
  </si>
  <si>
    <t>P4C-12</t>
  </si>
  <si>
    <t>關靜妍</t>
  </si>
  <si>
    <t>P4C-13</t>
  </si>
  <si>
    <t>楊淽涵</t>
  </si>
  <si>
    <t>P4C-14</t>
  </si>
  <si>
    <t>甘嘉烯</t>
  </si>
  <si>
    <t>P4C-15</t>
  </si>
  <si>
    <t>林晞雯</t>
  </si>
  <si>
    <t>P4C-16</t>
  </si>
  <si>
    <t>劉伯嶠</t>
  </si>
  <si>
    <t>P4C-17</t>
  </si>
  <si>
    <t>梁浠妤</t>
  </si>
  <si>
    <t>P4C-18</t>
  </si>
  <si>
    <t>梁筱晞</t>
  </si>
  <si>
    <t>P4C-19</t>
  </si>
  <si>
    <t>羅浚軒</t>
  </si>
  <si>
    <t>P4C-20</t>
  </si>
  <si>
    <t>盧紫芊</t>
  </si>
  <si>
    <t>P4C-21</t>
  </si>
  <si>
    <t>呂善濠</t>
  </si>
  <si>
    <t>P4C-22</t>
  </si>
  <si>
    <t>文家權</t>
  </si>
  <si>
    <t>P4C-23</t>
  </si>
  <si>
    <t>吳嘉軒</t>
  </si>
  <si>
    <t>P4C-24</t>
  </si>
  <si>
    <t>伍家霖</t>
  </si>
  <si>
    <t>P4C-25</t>
  </si>
  <si>
    <t>伍冠澤</t>
  </si>
  <si>
    <t>P4C-26</t>
  </si>
  <si>
    <t>寧夏</t>
  </si>
  <si>
    <t>P4C-27</t>
  </si>
  <si>
    <t>施俊勇</t>
  </si>
  <si>
    <t>P4C-28</t>
  </si>
  <si>
    <t>施泓濤</t>
  </si>
  <si>
    <t>P4C-29</t>
  </si>
  <si>
    <t>譚莃渝</t>
  </si>
  <si>
    <t>P4C-30</t>
  </si>
  <si>
    <t>唐梓朗</t>
  </si>
  <si>
    <t>P4C-31</t>
  </si>
  <si>
    <t>王予承</t>
  </si>
  <si>
    <t>P4C-32</t>
  </si>
  <si>
    <t>黃梓鍵</t>
  </si>
  <si>
    <t>P4C-33</t>
  </si>
  <si>
    <t>黃智炬</t>
  </si>
  <si>
    <t>P4C-34</t>
  </si>
  <si>
    <t>楊思朗</t>
  </si>
  <si>
    <t>P5A-1</t>
  </si>
  <si>
    <t>陳濠雄</t>
  </si>
  <si>
    <t>P5A-2</t>
  </si>
  <si>
    <t>曾一諾</t>
  </si>
  <si>
    <t>P5A-3</t>
  </si>
  <si>
    <t>曾詩娛</t>
  </si>
  <si>
    <t>P5A-4</t>
  </si>
  <si>
    <t>鄒智言</t>
  </si>
  <si>
    <t>P5A-5</t>
  </si>
  <si>
    <t>周浩賢</t>
  </si>
  <si>
    <t>P5A-6</t>
  </si>
  <si>
    <t>謝昊言</t>
  </si>
  <si>
    <t>P5A-7</t>
  </si>
  <si>
    <t>鄭子軒</t>
  </si>
  <si>
    <t>P5A-8</t>
  </si>
  <si>
    <t>鄭凱晴</t>
  </si>
  <si>
    <t>P5A-9</t>
  </si>
  <si>
    <t>程琳</t>
  </si>
  <si>
    <t>P5A-10</t>
  </si>
  <si>
    <t>徐子淇</t>
  </si>
  <si>
    <t>P5A-11</t>
  </si>
  <si>
    <t>鄧譯琛</t>
  </si>
  <si>
    <t>P5A-12</t>
  </si>
  <si>
    <t>許紹駿</t>
  </si>
  <si>
    <t>P5A-13</t>
  </si>
  <si>
    <t>洪千詠</t>
  </si>
  <si>
    <t>P5A-14</t>
  </si>
  <si>
    <t>柯紫洳</t>
  </si>
  <si>
    <t>P5A-15</t>
  </si>
  <si>
    <t>林梓天</t>
  </si>
  <si>
    <t>P5A-16</t>
  </si>
  <si>
    <t>林俊一</t>
  </si>
  <si>
    <t>P5A-17</t>
  </si>
  <si>
    <t>林家瑜</t>
  </si>
  <si>
    <t>P5A-18</t>
  </si>
  <si>
    <t>劉安蕎</t>
  </si>
  <si>
    <t>P5A-19</t>
  </si>
  <si>
    <t>李思澄</t>
  </si>
  <si>
    <t>P5A-20</t>
  </si>
  <si>
    <t>李穎玥</t>
  </si>
  <si>
    <t>P5A-21</t>
  </si>
  <si>
    <t>李晙禮</t>
  </si>
  <si>
    <t>P5A-22</t>
  </si>
  <si>
    <t>梁芷昕</t>
  </si>
  <si>
    <t>P5A-23</t>
  </si>
  <si>
    <t>龍嘉妍</t>
  </si>
  <si>
    <t>P5A-24</t>
  </si>
  <si>
    <t>梁子潁</t>
  </si>
  <si>
    <t>P5A-25</t>
  </si>
  <si>
    <t>梁家銘</t>
  </si>
  <si>
    <t>P5A-26</t>
  </si>
  <si>
    <t>劉昊明</t>
  </si>
  <si>
    <t>P5A-27</t>
  </si>
  <si>
    <t>盧紫葇</t>
  </si>
  <si>
    <t>P5A-28</t>
  </si>
  <si>
    <t>呂善柔</t>
  </si>
  <si>
    <t>P5A-29</t>
  </si>
  <si>
    <t>黃柏浩</t>
  </si>
  <si>
    <t>P5A-30</t>
  </si>
  <si>
    <t>毛奕舜</t>
  </si>
  <si>
    <t>P5A-31</t>
  </si>
  <si>
    <t>吳泳霖</t>
  </si>
  <si>
    <t>P5A-32</t>
  </si>
  <si>
    <t>蘇丞熙</t>
  </si>
  <si>
    <t>P5A-33</t>
  </si>
  <si>
    <t>袁柏宇</t>
  </si>
  <si>
    <t>P5A-34</t>
  </si>
  <si>
    <t>胡昊然</t>
  </si>
  <si>
    <t>P5A-35</t>
  </si>
  <si>
    <t>黃祉諭</t>
  </si>
  <si>
    <t>P5A-36</t>
  </si>
  <si>
    <t>黃承禮</t>
  </si>
  <si>
    <t>P5A-37</t>
  </si>
  <si>
    <t>黃玥菲</t>
  </si>
  <si>
    <t>P5B-1</t>
  </si>
  <si>
    <t>曾子璁</t>
  </si>
  <si>
    <t>P5B-2</t>
  </si>
  <si>
    <t>周紫欣</t>
  </si>
  <si>
    <t>P5B-3</t>
  </si>
  <si>
    <t>周嘉儀</t>
  </si>
  <si>
    <t>P5B-4</t>
  </si>
  <si>
    <t>鄭詩澄</t>
  </si>
  <si>
    <t>P5B-5</t>
  </si>
  <si>
    <t>張可欣</t>
  </si>
  <si>
    <t>P5B-6</t>
  </si>
  <si>
    <t>徐子晴</t>
  </si>
  <si>
    <t>P5B-7</t>
  </si>
  <si>
    <t>鍾孝琳</t>
  </si>
  <si>
    <t>P5B-8</t>
  </si>
  <si>
    <t>馮裕熙</t>
  </si>
  <si>
    <t>P5B-9</t>
  </si>
  <si>
    <t>高詩蕙</t>
  </si>
  <si>
    <t>P5B-10</t>
  </si>
  <si>
    <t>韓沁攸</t>
  </si>
  <si>
    <t>P5B-11</t>
  </si>
  <si>
    <t>任淏銘</t>
  </si>
  <si>
    <t>P5B-12</t>
  </si>
  <si>
    <t>甘宇桐</t>
  </si>
  <si>
    <t>P5B-13</t>
  </si>
  <si>
    <t>高夏俊</t>
  </si>
  <si>
    <t>P5B-14</t>
  </si>
  <si>
    <t>高彥霖</t>
  </si>
  <si>
    <t>P5B-15</t>
  </si>
  <si>
    <t>李海耀</t>
  </si>
  <si>
    <t>P5B-16</t>
  </si>
  <si>
    <t>李語晴</t>
  </si>
  <si>
    <t>P5B-17</t>
  </si>
  <si>
    <t>劉鯤鵬</t>
  </si>
  <si>
    <t>P5B-18</t>
  </si>
  <si>
    <t>龍嘉蔚</t>
  </si>
  <si>
    <t>P5B-19</t>
  </si>
  <si>
    <t>馬梓淇</t>
  </si>
  <si>
    <t>P5B-20</t>
  </si>
  <si>
    <t>麥睿霆</t>
  </si>
  <si>
    <t>P5B-21</t>
  </si>
  <si>
    <t>吳珮嫣</t>
  </si>
  <si>
    <t>P5B-22</t>
  </si>
  <si>
    <t>彭翊喬</t>
  </si>
  <si>
    <t>P5B-23</t>
  </si>
  <si>
    <t>彭紀恩</t>
  </si>
  <si>
    <t>P5B-24</t>
  </si>
  <si>
    <t>施俊宏</t>
  </si>
  <si>
    <t>P5B-25</t>
  </si>
  <si>
    <t>蘇嘉詠</t>
  </si>
  <si>
    <t>P5B-26</t>
  </si>
  <si>
    <t>唐洛瑋</t>
  </si>
  <si>
    <t>P5B-27</t>
  </si>
  <si>
    <t>謝樂欣</t>
  </si>
  <si>
    <t>P5B-28</t>
  </si>
  <si>
    <t>溫子欣</t>
  </si>
  <si>
    <t>P5B-29</t>
  </si>
  <si>
    <t>王璟鳴</t>
  </si>
  <si>
    <t>P5B-30</t>
  </si>
  <si>
    <t>黃裕淳</t>
  </si>
  <si>
    <t>P5B-31</t>
  </si>
  <si>
    <t>黃婉昕</t>
  </si>
  <si>
    <t>P5B-32</t>
  </si>
  <si>
    <t>黃韻瑜</t>
  </si>
  <si>
    <t>P5B-33</t>
  </si>
  <si>
    <t>吳泳琪</t>
  </si>
  <si>
    <t>P5B-34</t>
  </si>
  <si>
    <t>謝依璇</t>
  </si>
  <si>
    <t>P5B-35</t>
  </si>
  <si>
    <t>徐幸兒</t>
  </si>
  <si>
    <t>P5B-36</t>
  </si>
  <si>
    <t>余沐凝</t>
  </si>
  <si>
    <t>P5C-1</t>
  </si>
  <si>
    <t>陳柏源</t>
  </si>
  <si>
    <t>P5C-2</t>
  </si>
  <si>
    <t>陳品臻</t>
  </si>
  <si>
    <t>P5C-3</t>
  </si>
  <si>
    <t>陳天聿</t>
  </si>
  <si>
    <t>P5C-4</t>
  </si>
  <si>
    <t>周子軒</t>
  </si>
  <si>
    <t>P5C-5</t>
  </si>
  <si>
    <t>周芷瑜</t>
  </si>
  <si>
    <t>P5C-6</t>
  </si>
  <si>
    <t>周錦鴻</t>
  </si>
  <si>
    <t>P5C-7</t>
  </si>
  <si>
    <t>庄凱琳</t>
  </si>
  <si>
    <t>P5C-8</t>
  </si>
  <si>
    <t>鍾灝廷</t>
  </si>
  <si>
    <t>P5C-9</t>
  </si>
  <si>
    <t>康梓浩</t>
  </si>
  <si>
    <t>P5C-10</t>
  </si>
  <si>
    <t>洪馨</t>
  </si>
  <si>
    <t>P5C-11</t>
  </si>
  <si>
    <t>胡長治</t>
  </si>
  <si>
    <t>P5C-12</t>
  </si>
  <si>
    <t>黃泳怡</t>
  </si>
  <si>
    <t>P5C-13</t>
  </si>
  <si>
    <t>楊凱琳</t>
  </si>
  <si>
    <t>P5C-14</t>
  </si>
  <si>
    <t>古曉晴</t>
  </si>
  <si>
    <t>P5C-15</t>
  </si>
  <si>
    <t>林沛思</t>
  </si>
  <si>
    <t>P5C-16</t>
  </si>
  <si>
    <t>林語芯</t>
  </si>
  <si>
    <t>P5C-17</t>
  </si>
  <si>
    <t>林泳琦</t>
  </si>
  <si>
    <t>P5C-18</t>
  </si>
  <si>
    <t>李梓童</t>
  </si>
  <si>
    <t>P5C-19</t>
  </si>
  <si>
    <t>李倚雯</t>
  </si>
  <si>
    <t>P5C-20</t>
  </si>
  <si>
    <t>李芯瑜</t>
  </si>
  <si>
    <t>P5C-21</t>
  </si>
  <si>
    <t>梁芷晞</t>
  </si>
  <si>
    <t>P5C-22</t>
  </si>
  <si>
    <t>梁仲謙</t>
  </si>
  <si>
    <t>P5C-23</t>
  </si>
  <si>
    <t>容嘉璐</t>
  </si>
  <si>
    <t>P5C-24</t>
  </si>
  <si>
    <t>梁善湣</t>
  </si>
  <si>
    <t>P5C-25</t>
  </si>
  <si>
    <t>李慧琳</t>
  </si>
  <si>
    <t>P5C-26</t>
  </si>
  <si>
    <t>林康宥</t>
  </si>
  <si>
    <t>P5C-27</t>
  </si>
  <si>
    <t>吳可晨</t>
  </si>
  <si>
    <t>P5C-28</t>
  </si>
  <si>
    <t>蕭頌宜</t>
  </si>
  <si>
    <t>P5C-29</t>
  </si>
  <si>
    <t>譚柏濠</t>
  </si>
  <si>
    <t>P5C-30</t>
  </si>
  <si>
    <t>譚沛宜</t>
  </si>
  <si>
    <t>P5C-31</t>
  </si>
  <si>
    <t>鄧均鴻</t>
  </si>
  <si>
    <t>P5C-32</t>
  </si>
  <si>
    <t>余栢林</t>
  </si>
  <si>
    <t>P5C-33</t>
  </si>
  <si>
    <t>黃熙晴</t>
  </si>
  <si>
    <t>P5C-34</t>
  </si>
  <si>
    <t>王凱淋</t>
  </si>
  <si>
    <t>P5C-35</t>
  </si>
  <si>
    <t>王顥銘</t>
  </si>
  <si>
    <t>P5C-36</t>
  </si>
  <si>
    <t>黃詩瑤</t>
  </si>
  <si>
    <t>P6A-1</t>
  </si>
  <si>
    <t>陳致言</t>
  </si>
  <si>
    <t>P6A-2</t>
  </si>
  <si>
    <t>鄭俊熙</t>
  </si>
  <si>
    <t>P6A-3</t>
  </si>
  <si>
    <t>鄭頌霖</t>
  </si>
  <si>
    <t>P6A-4</t>
  </si>
  <si>
    <t>張俊峰</t>
  </si>
  <si>
    <t>P6A-5</t>
  </si>
  <si>
    <t>張雪儀</t>
  </si>
  <si>
    <t>P6A-6</t>
  </si>
  <si>
    <t>朱善琳</t>
  </si>
  <si>
    <t>P6A-7</t>
  </si>
  <si>
    <t>馮詠莃</t>
  </si>
  <si>
    <t>P6A-8</t>
  </si>
  <si>
    <t>傅逸唯</t>
  </si>
  <si>
    <t>P6A-9</t>
  </si>
  <si>
    <t>何銘袁</t>
  </si>
  <si>
    <t>P6A-10</t>
  </si>
  <si>
    <t>許沅琳</t>
  </si>
  <si>
    <t>P6A-11</t>
  </si>
  <si>
    <t>洪鈺淇</t>
  </si>
  <si>
    <t>P6A-12</t>
  </si>
  <si>
    <t>楊千悅</t>
  </si>
  <si>
    <t>P6A-13</t>
  </si>
  <si>
    <t>關芷錤</t>
  </si>
  <si>
    <t>P6A-14</t>
  </si>
  <si>
    <t>關力恆</t>
  </si>
  <si>
    <t>P6A-15</t>
  </si>
  <si>
    <t>李芯賢</t>
  </si>
  <si>
    <t>P6A-16</t>
  </si>
  <si>
    <t>梁嘉慧</t>
  </si>
  <si>
    <t>P6A-17</t>
  </si>
  <si>
    <t>廖逸軒</t>
  </si>
  <si>
    <t>P6A-18</t>
  </si>
  <si>
    <t>呂梓薇</t>
  </si>
  <si>
    <t>P6A-19</t>
  </si>
  <si>
    <t>麥貝琳</t>
  </si>
  <si>
    <t>P6A-20</t>
  </si>
  <si>
    <t>伍蔚珽</t>
  </si>
  <si>
    <t>P6A-21</t>
  </si>
  <si>
    <t>容焯陽</t>
  </si>
  <si>
    <t>P6A-22</t>
  </si>
  <si>
    <t>施亦潁</t>
  </si>
  <si>
    <t>P6A-23</t>
  </si>
  <si>
    <t>薛昊洋</t>
  </si>
  <si>
    <t>P6A-24</t>
  </si>
  <si>
    <t>徐卓弘</t>
  </si>
  <si>
    <t>P6A-25</t>
  </si>
  <si>
    <t>黃彬豪</t>
  </si>
  <si>
    <t>P6A-26</t>
  </si>
  <si>
    <t>王靜文</t>
  </si>
  <si>
    <t>P6A-27</t>
  </si>
  <si>
    <t>黃梓淏</t>
  </si>
  <si>
    <t>P6A-28</t>
  </si>
  <si>
    <t>黃芷嫣</t>
  </si>
  <si>
    <t>P6A-29</t>
  </si>
  <si>
    <t>黃芷茹</t>
  </si>
  <si>
    <t>P6A-30</t>
  </si>
  <si>
    <t>黃依晴</t>
  </si>
  <si>
    <t>P6A-31</t>
  </si>
  <si>
    <t>黃世澤</t>
  </si>
  <si>
    <t>P6A-32</t>
  </si>
  <si>
    <t>黃俞鋒</t>
  </si>
  <si>
    <t>P6B-1</t>
  </si>
  <si>
    <t>鄭柏韜</t>
  </si>
  <si>
    <t>P6B-2</t>
  </si>
  <si>
    <t>程凱顥</t>
  </si>
  <si>
    <t>P6B-3</t>
  </si>
  <si>
    <t>張浚謙</t>
  </si>
  <si>
    <t>P6B-4</t>
  </si>
  <si>
    <t>朱天雪</t>
  </si>
  <si>
    <t>P6B-5</t>
  </si>
  <si>
    <t>夏朗天</t>
  </si>
  <si>
    <t>P6B-6</t>
  </si>
  <si>
    <t>何雨柔</t>
  </si>
  <si>
    <t>P6B-7</t>
  </si>
  <si>
    <t>何芯瑤</t>
  </si>
  <si>
    <t>P6B-8</t>
  </si>
  <si>
    <t>楊諾一</t>
  </si>
  <si>
    <t>P6B-9</t>
  </si>
  <si>
    <t>甘曉瀚</t>
  </si>
  <si>
    <t>P6B-10</t>
  </si>
  <si>
    <t>郭浩然</t>
  </si>
  <si>
    <t>P6B-11</t>
  </si>
  <si>
    <t>賴婷筠</t>
  </si>
  <si>
    <t>P6B-12</t>
  </si>
  <si>
    <t>林芝樂</t>
  </si>
  <si>
    <t>P6B-13</t>
  </si>
  <si>
    <t>林芊曉</t>
  </si>
  <si>
    <t>P6B-14</t>
  </si>
  <si>
    <t>林希妍</t>
  </si>
  <si>
    <t>P6B-15</t>
  </si>
  <si>
    <t>梁海琦</t>
  </si>
  <si>
    <t>P6B-16</t>
  </si>
  <si>
    <t>梁嘉樂</t>
  </si>
  <si>
    <t>P6B-17</t>
  </si>
  <si>
    <t>梁諾熙</t>
  </si>
  <si>
    <t>P6B-18</t>
  </si>
  <si>
    <t>李瑜君</t>
  </si>
  <si>
    <t>P6B-19</t>
  </si>
  <si>
    <t>盧遜哲</t>
  </si>
  <si>
    <t>P6B-20</t>
  </si>
  <si>
    <t>馬睿垚</t>
  </si>
  <si>
    <t>P6B-21</t>
  </si>
  <si>
    <t>伍政禮</t>
  </si>
  <si>
    <t>P6B-22</t>
  </si>
  <si>
    <t>戴鐥恩</t>
  </si>
  <si>
    <t>P6B-23</t>
  </si>
  <si>
    <t>唐樂橦</t>
  </si>
  <si>
    <t>P6B-24</t>
  </si>
  <si>
    <t>黃靖童</t>
  </si>
  <si>
    <t>P6B-25</t>
  </si>
  <si>
    <t>黃梓維</t>
  </si>
  <si>
    <t>P6B-26</t>
  </si>
  <si>
    <t>王鎧晴</t>
  </si>
  <si>
    <t>P6B-27</t>
  </si>
  <si>
    <t>王寶恩</t>
  </si>
  <si>
    <t>P6B-28</t>
  </si>
  <si>
    <t>胡立賢</t>
  </si>
  <si>
    <t>P6B-29</t>
  </si>
  <si>
    <t>吳銘霖</t>
  </si>
  <si>
    <t>P6B-30</t>
  </si>
  <si>
    <t>巫泳瑩</t>
  </si>
  <si>
    <t>P6B-31</t>
  </si>
  <si>
    <t>楊清菡</t>
  </si>
  <si>
    <t>P6B-32</t>
  </si>
  <si>
    <t>楊晉菱</t>
  </si>
  <si>
    <t>P6B-33</t>
  </si>
  <si>
    <t>曾梓淇</t>
  </si>
  <si>
    <t>P6C-1</t>
  </si>
  <si>
    <t>歐頴芯</t>
  </si>
  <si>
    <t>P6C-2</t>
  </si>
  <si>
    <t>陳家銘</t>
  </si>
  <si>
    <t>P6C-3</t>
  </si>
  <si>
    <t>陳栢翹</t>
  </si>
  <si>
    <t>P6C-4</t>
  </si>
  <si>
    <t>謝信謙</t>
  </si>
  <si>
    <t>P6C-5</t>
  </si>
  <si>
    <t>卓子茵</t>
  </si>
  <si>
    <t>P6C-6</t>
  </si>
  <si>
    <t>張芷晴</t>
  </si>
  <si>
    <t>P6C-7</t>
  </si>
  <si>
    <t>趙倩妤</t>
  </si>
  <si>
    <t>P6C-8</t>
  </si>
  <si>
    <t>戴敏怡</t>
  </si>
  <si>
    <t>P6C-9</t>
  </si>
  <si>
    <t>方麗瑩</t>
  </si>
  <si>
    <t>P6C-10</t>
  </si>
  <si>
    <t>馮宇森</t>
  </si>
  <si>
    <t>P6C-11</t>
  </si>
  <si>
    <t>何承軒</t>
  </si>
  <si>
    <t>P6C-12</t>
  </si>
  <si>
    <t>楊浚昇</t>
  </si>
  <si>
    <t>P6C-13</t>
  </si>
  <si>
    <t>郭芊宇</t>
  </si>
  <si>
    <t>P6C-14</t>
  </si>
  <si>
    <t>林裕昇</t>
  </si>
  <si>
    <t>P6C-15</t>
  </si>
  <si>
    <t>林蔚心</t>
  </si>
  <si>
    <t>P6C-16</t>
  </si>
  <si>
    <t>劉芷悅</t>
  </si>
  <si>
    <t>P6C-17</t>
  </si>
  <si>
    <t>李梓琳</t>
  </si>
  <si>
    <t>P6C-18</t>
  </si>
  <si>
    <t>李家榕</t>
  </si>
  <si>
    <t>P6C-19</t>
  </si>
  <si>
    <t>李穎兒</t>
  </si>
  <si>
    <t>P6C-20</t>
  </si>
  <si>
    <t>梁熙程</t>
  </si>
  <si>
    <t>P6C-21</t>
  </si>
  <si>
    <t>梁睿軒</t>
  </si>
  <si>
    <t>P6C-22</t>
  </si>
  <si>
    <t>李婥華</t>
  </si>
  <si>
    <t>P6C-23</t>
  </si>
  <si>
    <t>李俊希</t>
  </si>
  <si>
    <t>P6C-24</t>
  </si>
  <si>
    <t>林峻渢</t>
  </si>
  <si>
    <t>P6C-25</t>
  </si>
  <si>
    <t>梅曉桐</t>
  </si>
  <si>
    <t>P6C-26</t>
  </si>
  <si>
    <t>吳鈞澔</t>
  </si>
  <si>
    <t>P6C-27</t>
  </si>
  <si>
    <t>吳芯喬</t>
  </si>
  <si>
    <t>P6C-28</t>
  </si>
  <si>
    <t>吳宇駿</t>
  </si>
  <si>
    <t>P6C-29</t>
  </si>
  <si>
    <t>陳栢銘</t>
  </si>
  <si>
    <t>P6C-30</t>
  </si>
  <si>
    <t>蘇建綜</t>
  </si>
  <si>
    <t>P6C-31</t>
  </si>
  <si>
    <t>唐棨驄</t>
  </si>
  <si>
    <t>P6C-32</t>
  </si>
  <si>
    <t>吳恆宇</t>
  </si>
  <si>
    <t>P6C-33</t>
  </si>
  <si>
    <t>楊峻宇</t>
  </si>
  <si>
    <t>P6D-1</t>
  </si>
  <si>
    <t>歐海韻</t>
  </si>
  <si>
    <t>P6D-2</t>
  </si>
  <si>
    <t>陳俊延</t>
  </si>
  <si>
    <t>P6D-3</t>
  </si>
  <si>
    <t>陳柏宇</t>
  </si>
  <si>
    <t>P6D-4</t>
  </si>
  <si>
    <t>陳心賢</t>
  </si>
  <si>
    <t>P6D-5</t>
  </si>
  <si>
    <t>陳詩雅</t>
  </si>
  <si>
    <t>P6D-6</t>
  </si>
  <si>
    <t>鄭詠詩</t>
  </si>
  <si>
    <t>P6D-7</t>
  </si>
  <si>
    <t>張祖睿</t>
  </si>
  <si>
    <t>P6D-8</t>
  </si>
  <si>
    <t>錢駿宇</t>
  </si>
  <si>
    <t>P6D-9</t>
  </si>
  <si>
    <t>趙崇曦</t>
  </si>
  <si>
    <t>P6D-10</t>
  </si>
  <si>
    <t>崔允綨</t>
  </si>
  <si>
    <t>P6D-11</t>
  </si>
  <si>
    <t>馮雋銘</t>
  </si>
  <si>
    <t>P6D-12</t>
  </si>
  <si>
    <t>何宣霖</t>
  </si>
  <si>
    <t>P6D-13</t>
  </si>
  <si>
    <t>何曉澄</t>
  </si>
  <si>
    <t>P6D-14</t>
  </si>
  <si>
    <t>甄子皓</t>
  </si>
  <si>
    <t>P6D-15</t>
  </si>
  <si>
    <t>甘子隆</t>
  </si>
  <si>
    <t>P6D-16</t>
  </si>
  <si>
    <t>龔筱茹</t>
  </si>
  <si>
    <t>P6D-17</t>
  </si>
  <si>
    <t>黎司齊</t>
  </si>
  <si>
    <t>P6D-18</t>
  </si>
  <si>
    <t>劉君浩</t>
  </si>
  <si>
    <t>P6D-19</t>
  </si>
  <si>
    <t>梁靖柔</t>
  </si>
  <si>
    <t>P6D-20</t>
  </si>
  <si>
    <t>李佳沅</t>
  </si>
  <si>
    <t>P6D-21</t>
  </si>
  <si>
    <t>林雨晴</t>
  </si>
  <si>
    <t>P6D-22</t>
  </si>
  <si>
    <t>羅天頤</t>
  </si>
  <si>
    <t>P6D-23</t>
  </si>
  <si>
    <t>呂穎瑤</t>
  </si>
  <si>
    <t>P6D-24</t>
  </si>
  <si>
    <t>伍凱霖</t>
  </si>
  <si>
    <t>P6D-25</t>
  </si>
  <si>
    <t>聶語軒</t>
  </si>
  <si>
    <t>P6D-26</t>
  </si>
  <si>
    <t>孫耀祥</t>
  </si>
  <si>
    <t>P6D-27</t>
  </si>
  <si>
    <t>譚穎琳</t>
  </si>
  <si>
    <t>P6D-28</t>
  </si>
  <si>
    <t>黃靜茹</t>
  </si>
  <si>
    <t>P6D-29</t>
  </si>
  <si>
    <t>黃卓嵐</t>
  </si>
  <si>
    <t>P6D-30</t>
  </si>
  <si>
    <t>黃志鋒</t>
  </si>
  <si>
    <t>P6D-31</t>
  </si>
  <si>
    <t>黃尹晞</t>
  </si>
  <si>
    <t>P6D-32</t>
  </si>
  <si>
    <t>余芷瑤</t>
  </si>
  <si>
    <t>ℹ️ 26-27 學年 學生書包秤重登記系統 使用說明與即時同步機制</t>
  </si>
  <si>
    <t>一、 手機快速登記與篩選步驟</t>
  </si>
  <si>
    <t>1. 打開『📱 各班抽查登記表』工作頁。</t>
  </si>
  <si>
    <t>2. 點擊頂部『班別』欄位的篩選圖示，選取貴班（例如 P1A）即可快速聚焦貴班欄位。</t>
  </si>
  <si>
    <t>3. 隨機抽取 11 位學生，在藍色『座號』欄確認座號，並在藍色『書包重量』欄輸入秤重結果 (kg)。</t>
  </si>
  <si>
    <t>→ 系統會自動對照體重、計算百分比，並即時判定顯示綠底【達標】或紅底【超重】。</t>
  </si>
  <si>
    <t>二、 即時同步更新機制 (Real-Time Synchronous Update)</t>
  </si>
  <si>
    <t>• 本表格採用全動態 Excel 公式架構 (COUNTIF / COUNTIFS / 儲存格鏡像連動)。</t>
  </si>
  <si>
    <t>• 任何老師在『📱 各班抽查登記表』新增、修改或更新書包重量/超重原因時：</t>
  </si>
  <si>
    <t xml:space="preserve">  1) 登記表頂部數據卡片即時重算。</t>
  </si>
  <si>
    <t xml:space="preserve">  2) 『📊 全校各班抽查總表』的全校整體指標、20 班即時統計一覽表及全校明細會【100% 即時自動同步更新】！</t>
  </si>
  <si>
    <t>• 無需手動按下重新整理或執行巨集，修改瞬間即可在總表呈現最新結果。</t>
  </si>
  <si>
    <t>三、 評定標準與運算公式</t>
  </si>
  <si>
    <t>• 計算公式：書包佔體重百分比 = (書包重量 kg ÷ 學生體重 kg) × 100%</t>
  </si>
  <si>
    <t>• 達標標準：書包重量佔體重百分比 &lt;= 15%（自動顯示綠底『達標』）</t>
  </si>
  <si>
    <t>• 超重標準：書包重量佔體重百分比 &gt; 15%（自動顯示紅底『超重』）</t>
  </si>
  <si>
    <t>四、 超重原因代號說明（含新增『體重過輕』）</t>
  </si>
  <si>
    <t>1) 書包材質偏重：書包本身布料、拉鍊、背帶或骨架材質較重。</t>
  </si>
  <si>
    <t>2) 水樽材質或盛水很重：不銹鋼保温水樽或盛滿水重量較大。</t>
  </si>
  <si>
    <t>3) 書、簿、工作紙數量多：當日帶回學校的課本、作業簿或工作紙數量過多。</t>
  </si>
  <si>
    <t>4) 文具量多/圖書重：文具盒過大過重，或攜帶重型課外圖書/字典。</t>
  </si>
  <si>
    <t>5) 體重過輕：學生個人體重偏輕，致使標準重量之書包占比相對超過 15%。</t>
  </si>
  <si>
    <t>6) 其他(須註明)：其他非上述原因，請於『備註』欄位中詳細說明。</t>
  </si>
  <si>
    <t>抽查總目標</t>
    <phoneticPr fontId="10" type="noConversion"/>
  </si>
  <si>
    <t>已輸入測量人數</t>
    <phoneticPr fontId="10" type="noConversion"/>
  </si>
  <si>
    <t>學生姓名</t>
    <phoneticPr fontId="10" type="noConversion"/>
  </si>
  <si>
    <t>學生體重 (kg)</t>
    <phoneticPr fontId="10" type="noConversion"/>
  </si>
  <si>
    <t>26-27 學年 學生書包秤重抽查登記表</t>
    <phoneticPr fontId="10" type="noConversion"/>
  </si>
  <si>
    <r>
      <t xml:space="preserve">學生書包重量抽查結果紀錄表
</t>
    </r>
    <r>
      <rPr>
        <b/>
        <sz val="12"/>
        <color rgb="FF000000"/>
        <rFont val="標楷體"/>
        <family val="4"/>
        <charset val="136"/>
      </rPr>
      <t>（2022/2023學年起適用）</t>
    </r>
    <phoneticPr fontId="13" type="noConversion"/>
  </si>
  <si>
    <t>學校名稱：</t>
  </si>
  <si>
    <t>聖若瑟教區中學第五校(小學中文部)</t>
    <phoneticPr fontId="13" type="noConversion"/>
  </si>
  <si>
    <t>校部編號：</t>
  </si>
  <si>
    <t>051</t>
    <phoneticPr fontId="13" type="noConversion"/>
  </si>
  <si>
    <t>本學年抽查次數：</t>
    <phoneticPr fontId="13" type="noConversion"/>
  </si>
  <si>
    <t>抽查教育階段：</t>
    <phoneticPr fontId="13" type="noConversion"/>
  </si>
  <si>
    <t>小學教育</t>
  </si>
  <si>
    <t>抽查期間：</t>
    <phoneticPr fontId="13" type="noConversion"/>
  </si>
  <si>
    <t>至</t>
    <phoneticPr fontId="13" type="noConversion"/>
  </si>
  <si>
    <t>抽查教育階段總人數：</t>
    <phoneticPr fontId="13" type="noConversion"/>
  </si>
  <si>
    <t xml:space="preserve">抽查學生人數：     </t>
    <phoneticPr fontId="13" type="noConversion"/>
  </si>
  <si>
    <t>抽查比率：</t>
    <phoneticPr fontId="13" type="noConversion"/>
  </si>
  <si>
    <r>
      <t>超重原因代號</t>
    </r>
    <r>
      <rPr>
        <sz val="10"/>
        <color rgb="FFFF0000"/>
        <rFont val="標楷體"/>
        <family val="4"/>
        <charset val="136"/>
      </rPr>
      <t xml:space="preserve">（以目測或觸感判斷來描述） </t>
    </r>
    <r>
      <rPr>
        <sz val="10"/>
        <color rgb="FF000000"/>
        <rFont val="標楷體"/>
        <family val="4"/>
        <charset val="136"/>
      </rPr>
      <t>：</t>
    </r>
    <phoneticPr fontId="13" type="noConversion"/>
  </si>
  <si>
    <t xml:space="preserve">總計 </t>
  </si>
  <si>
    <t>1. 書包材質偏重（非拖拉式書包）   2. 水樽/壺內盛水很重    3. 書本數量多</t>
    <phoneticPr fontId="13" type="noConversion"/>
  </si>
  <si>
    <t>序號</t>
    <phoneticPr fontId="13" type="noConversion"/>
  </si>
  <si>
    <t>年級</t>
    <phoneticPr fontId="13" type="noConversion"/>
  </si>
  <si>
    <r>
      <t>學生體重
（</t>
    </r>
    <r>
      <rPr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kg</t>
    </r>
    <r>
      <rPr>
        <sz val="12"/>
        <color rgb="FF000000"/>
        <rFont val="標楷體"/>
        <family val="4"/>
        <charset val="136"/>
      </rPr>
      <t>）</t>
    </r>
    <phoneticPr fontId="13" type="noConversion"/>
  </si>
  <si>
    <r>
      <t>書包重量
（</t>
    </r>
    <r>
      <rPr>
        <sz val="12"/>
        <color rgb="FF000000"/>
        <rFont val="Timwese"/>
        <family val="1"/>
      </rPr>
      <t xml:space="preserve"> </t>
    </r>
    <r>
      <rPr>
        <b/>
        <sz val="12"/>
        <color rgb="FF000000"/>
        <rFont val="Timwese"/>
        <family val="1"/>
      </rPr>
      <t>kg</t>
    </r>
    <r>
      <rPr>
        <sz val="12"/>
        <color rgb="FF000000"/>
        <rFont val="標楷體"/>
        <family val="4"/>
        <charset val="136"/>
      </rPr>
      <t>）</t>
    </r>
    <phoneticPr fontId="13" type="noConversion"/>
  </si>
  <si>
    <r>
      <t>書包佔體重的
百分比（</t>
    </r>
    <r>
      <rPr>
        <b/>
        <sz val="12"/>
        <color rgb="FF000000"/>
        <rFont val="標楷體"/>
        <family val="1"/>
        <charset val="136"/>
      </rPr>
      <t>%</t>
    </r>
    <r>
      <rPr>
        <sz val="12"/>
        <color rgb="FF000000"/>
        <rFont val="標楷體"/>
        <family val="4"/>
        <charset val="136"/>
      </rPr>
      <t>）</t>
    </r>
    <phoneticPr fontId="13" type="noConversion"/>
  </si>
  <si>
    <r>
      <t xml:space="preserve">是否達標
（ </t>
    </r>
    <r>
      <rPr>
        <sz val="12"/>
        <color rgb="FF000000"/>
        <rFont val="Wingdings"/>
        <charset val="2"/>
      </rPr>
      <t></t>
    </r>
    <r>
      <rPr>
        <b/>
        <sz val="12"/>
        <color rgb="FF000000"/>
        <rFont val="標楷體"/>
        <family val="4"/>
        <charset val="136"/>
      </rPr>
      <t>/</t>
    </r>
    <r>
      <rPr>
        <sz val="12"/>
        <color rgb="FF000000"/>
        <rFont val="Wingdings"/>
        <charset val="2"/>
      </rPr>
      <t></t>
    </r>
    <r>
      <rPr>
        <sz val="12"/>
        <color rgb="FF000000"/>
        <rFont val="標楷體"/>
        <family val="4"/>
        <charset val="136"/>
      </rPr>
      <t>）</t>
    </r>
    <phoneticPr fontId="13" type="noConversion"/>
  </si>
  <si>
    <r>
      <t>引致書包超重的原因
（ 填代號</t>
    </r>
    <r>
      <rPr>
        <vertAlign val="superscript"/>
        <sz val="12"/>
        <color rgb="FF000000"/>
        <rFont val="標楷體"/>
        <family val="4"/>
        <charset val="136"/>
      </rPr>
      <t>註</t>
    </r>
    <r>
      <rPr>
        <sz val="12"/>
        <color rgb="FF000000"/>
        <rFont val="標楷體"/>
        <family val="4"/>
        <charset val="136"/>
      </rPr>
      <t>， 可多選）</t>
    </r>
    <phoneticPr fontId="13" type="noConversion"/>
  </si>
  <si>
    <r>
      <t xml:space="preserve">4. 作業本數量多  5. 文具及其他物品的數量多  </t>
    </r>
    <r>
      <rPr>
        <sz val="10"/>
        <color rgb="FFFF0000"/>
        <rFont val="標楷體"/>
        <family val="4"/>
        <charset val="136"/>
      </rPr>
      <t xml:space="preserve"> 6. 其他，須註明</t>
    </r>
    <phoneticPr fontId="13" type="noConversion"/>
  </si>
  <si>
    <t>小一</t>
    <phoneticPr fontId="13" type="noConversion"/>
  </si>
  <si>
    <t>小一</t>
  </si>
  <si>
    <t>小二</t>
    <phoneticPr fontId="13" type="noConversion"/>
  </si>
  <si>
    <t>小二</t>
  </si>
  <si>
    <t>小三</t>
  </si>
  <si>
    <t>小四</t>
  </si>
  <si>
    <t>小五</t>
  </si>
  <si>
    <t>小六</t>
  </si>
  <si>
    <r>
      <t xml:space="preserve">學生書包重量抽查結果分析表
</t>
    </r>
    <r>
      <rPr>
        <b/>
        <sz val="12"/>
        <color theme="1"/>
        <rFont val="標楷體"/>
        <family val="4"/>
        <charset val="136"/>
      </rPr>
      <t>（2022/2023學年起適用）</t>
    </r>
    <phoneticPr fontId="13" type="noConversion"/>
  </si>
  <si>
    <t>主要抽查人員：</t>
    <phoneticPr fontId="13" type="noConversion"/>
  </si>
  <si>
    <t>體育/行政/培育老師</t>
  </si>
  <si>
    <t>抽查學生人數：</t>
    <phoneticPr fontId="13" type="noConversion"/>
  </si>
  <si>
    <t>書包超重人數：</t>
    <phoneticPr fontId="13" type="noConversion"/>
  </si>
  <si>
    <t>抽查超重比例：</t>
    <phoneticPr fontId="13" type="noConversion"/>
  </si>
  <si>
    <t>書包達標人數：</t>
    <phoneticPr fontId="13" type="noConversion"/>
  </si>
  <si>
    <t>抽查達標比例：</t>
    <phoneticPr fontId="13" type="noConversion"/>
  </si>
  <si>
    <r>
      <rPr>
        <sz val="12"/>
        <color theme="1"/>
        <rFont val="BiauKai"/>
        <family val="4"/>
        <charset val="136"/>
      </rPr>
      <t>較前一次抽查達標改善的百分比：</t>
    </r>
    <r>
      <rPr>
        <u/>
        <sz val="12"/>
        <color theme="1"/>
        <rFont val="Times New Roman"/>
        <family val="1"/>
      </rPr>
      <t xml:space="preserve">       </t>
    </r>
    <r>
      <rPr>
        <sz val="12"/>
        <color theme="1"/>
        <rFont val="Times New Roman"/>
        <family val="1"/>
      </rPr>
      <t>%</t>
    </r>
    <r>
      <rPr>
        <sz val="12"/>
        <color theme="1"/>
        <rFont val="BiauKai"/>
        <family val="4"/>
        <charset val="136"/>
      </rPr>
      <t>（</t>
    </r>
    <r>
      <rPr>
        <b/>
        <sz val="12"/>
        <color theme="1"/>
        <rFont val="BiauKai"/>
        <family val="4"/>
        <charset val="136"/>
      </rPr>
      <t>每學年第一次抽查免填</t>
    </r>
    <r>
      <rPr>
        <sz val="12"/>
        <color theme="1"/>
        <rFont val="BiauKai"/>
        <family val="4"/>
        <charset val="136"/>
      </rPr>
      <t>）
計算方法：本次抽查達標比例</t>
    </r>
    <r>
      <rPr>
        <sz val="12"/>
        <color theme="1"/>
        <rFont val="Cambria"/>
        <family val="1"/>
      </rPr>
      <t xml:space="preserve"> - </t>
    </r>
    <r>
      <rPr>
        <sz val="12"/>
        <color theme="1"/>
        <rFont val="BiauKai"/>
        <family val="4"/>
        <charset val="136"/>
      </rPr>
      <t>上次抽查達標比例</t>
    </r>
  </si>
  <si>
    <r>
      <t>根據《學校運作指南》第三章第八節六</t>
    </r>
    <r>
      <rPr>
        <sz val="12"/>
        <color theme="1"/>
        <rFont val="標楷體"/>
        <family val="1"/>
        <charset val="136"/>
      </rPr>
      <t>“</t>
    </r>
    <r>
      <rPr>
        <sz val="12"/>
        <color theme="1"/>
        <rFont val="標楷體"/>
        <family val="4"/>
        <charset val="136"/>
      </rPr>
      <t>減輕學生書包重量</t>
    </r>
    <r>
      <rPr>
        <sz val="12"/>
        <color theme="1"/>
        <rFont val="標楷體"/>
        <family val="1"/>
        <charset val="136"/>
      </rPr>
      <t>”</t>
    </r>
    <r>
      <rPr>
        <sz val="12"/>
        <color theme="1"/>
        <rFont val="標楷體"/>
        <family val="4"/>
        <charset val="136"/>
      </rPr>
      <t>的建議，訂定完善的書包減重實施計劃：</t>
    </r>
    <phoneticPr fontId="13" type="noConversion"/>
  </si>
  <si>
    <t>是</t>
  </si>
  <si>
    <t>學校有提供儲物空間或設備，讓學生擺放物品：</t>
    <phoneticPr fontId="13" type="noConversion"/>
  </si>
  <si>
    <r>
      <rPr>
        <sz val="12"/>
        <rFont val="BiauKai"/>
        <family val="4"/>
        <charset val="136"/>
      </rPr>
      <t>學生飲水機水質合符衛生標準</t>
    </r>
    <r>
      <rPr>
        <sz val="12"/>
        <rFont val="Cambria"/>
        <family val="1"/>
      </rPr>
      <t xml:space="preserve"> (</t>
    </r>
    <r>
      <rPr>
        <sz val="12"/>
        <rFont val="BiauKai"/>
        <family val="4"/>
        <charset val="136"/>
      </rPr>
      <t>最近檢查日期：</t>
    </r>
    <r>
      <rPr>
        <u/>
        <sz val="12"/>
        <rFont val="標楷體"/>
        <family val="4"/>
        <charset val="136"/>
      </rPr>
      <t xml:space="preserve">    2025.08.27   </t>
    </r>
    <r>
      <rPr>
        <sz val="12"/>
        <rFont val="標楷體"/>
        <family val="4"/>
        <charset val="136"/>
      </rPr>
      <t>)</t>
    </r>
    <phoneticPr fontId="13" type="noConversion"/>
  </si>
  <si>
    <t>分析引致學生書包超重的主要原因：</t>
    <phoneticPr fontId="13" type="noConversion"/>
  </si>
  <si>
    <r>
      <t>1.</t>
    </r>
    <r>
      <rPr>
        <sz val="7"/>
        <color theme="1"/>
        <rFont val="Times New Roman"/>
        <family val="1"/>
      </rPr>
      <t> </t>
    </r>
    <phoneticPr fontId="13" type="noConversion"/>
  </si>
  <si>
    <t>學生體重較輕</t>
  </si>
  <si>
    <r>
      <t>2.</t>
    </r>
    <r>
      <rPr>
        <sz val="7"/>
        <color theme="1"/>
        <rFont val="Times New Roman"/>
        <family val="1"/>
      </rPr>
      <t> </t>
    </r>
    <phoneticPr fontId="13" type="noConversion"/>
  </si>
  <si>
    <t>書包內較多非必要學習用品</t>
  </si>
  <si>
    <r>
      <t>3.</t>
    </r>
    <r>
      <rPr>
        <sz val="7"/>
        <color theme="1"/>
        <rFont val="Times New Roman"/>
        <family val="1"/>
      </rPr>
      <t> </t>
    </r>
    <phoneticPr fontId="13" type="noConversion"/>
  </si>
  <si>
    <t>書包質材較重</t>
  </si>
  <si>
    <r>
      <t>4.</t>
    </r>
    <r>
      <rPr>
        <sz val="7"/>
        <color theme="1"/>
        <rFont val="Times New Roman"/>
        <family val="1"/>
      </rPr>
      <t> </t>
    </r>
    <phoneticPr fontId="13" type="noConversion"/>
  </si>
  <si>
    <t>水樽從家中盛滿水回校</t>
    <phoneticPr fontId="13" type="noConversion"/>
  </si>
  <si>
    <r>
      <t>5. </t>
    </r>
    <r>
      <rPr>
        <sz val="7"/>
        <color theme="1"/>
        <rFont val="Times New Roman"/>
        <family val="1"/>
      </rPr>
      <t/>
    </r>
  </si>
  <si>
    <t>(其他原因，請填寫)</t>
    <phoneticPr fontId="13" type="noConversion"/>
  </si>
  <si>
    <t>修訂書包減重措施或策略：</t>
  </si>
  <si>
    <t>教導及提醒同學如何收拾書包，特別是不要帶補習社的工作紙</t>
    <phoneticPr fontId="13" type="noConversion"/>
  </si>
  <si>
    <t>在課室書櫃內設置空間，供學生放置不需要每天温習的書本或用品</t>
    <phoneticPr fontId="13" type="noConversion"/>
  </si>
  <si>
    <t>學校已添置水機，同學可帶空水樽回校盛水</t>
    <phoneticPr fontId="13" type="noConversion"/>
  </si>
  <si>
    <r>
      <t>4. </t>
    </r>
    <r>
      <rPr>
        <sz val="7"/>
        <color theme="1"/>
        <rFont val="Times New Roman"/>
        <family val="1"/>
      </rPr>
      <t/>
    </r>
  </si>
  <si>
    <t>建議如再購買書包時，應選擇質料較輕的物料</t>
  </si>
  <si>
    <t>對因沒有收拾書包導致超重的同學進行複檢，並提醒家長在家檢查</t>
    <phoneticPr fontId="13" type="noConversion"/>
  </si>
  <si>
    <r>
      <t>註：</t>
    </r>
    <r>
      <rPr>
        <sz val="12"/>
        <color theme="1"/>
        <rFont val="標楷體"/>
        <family val="4"/>
        <charset val="136"/>
      </rPr>
      <t>建議因應學校情況，考慮班級規模、學生人數，以廣泛覆蓋、均衡分佈為原則進行抽查（例如各年級抽查學生人數的百分比宜相若）。</t>
    </r>
  </si>
  <si>
    <t>3) 書本數量多</t>
    <phoneticPr fontId="10" type="noConversion"/>
  </si>
  <si>
    <t>4) 作業本數量多</t>
    <phoneticPr fontId="10" type="noConversion"/>
  </si>
  <si>
    <t>5) 文具及其他物品的數量多</t>
    <phoneticPr fontId="10" type="noConversion"/>
  </si>
  <si>
    <t>超重原因代號</t>
    <phoneticPr fontId="10" type="noConversion"/>
  </si>
  <si>
    <t>班別</t>
    <phoneticPr fontId="10" type="noConversion"/>
  </si>
  <si>
    <t>超重原因代號及說明</t>
    <phoneticPr fontId="10" type="noConversion"/>
  </si>
  <si>
    <t>1)</t>
    <phoneticPr fontId="10" type="noConversion"/>
  </si>
  <si>
    <t>2)</t>
    <phoneticPr fontId="10" type="noConversion"/>
  </si>
  <si>
    <t xml:space="preserve">3) </t>
    <phoneticPr fontId="10" type="noConversion"/>
  </si>
  <si>
    <t>4)</t>
    <phoneticPr fontId="10" type="noConversion"/>
  </si>
  <si>
    <t>5)</t>
    <phoneticPr fontId="10" type="noConversion"/>
  </si>
  <si>
    <t>6)</t>
    <phoneticPr fontId="10" type="noConversion"/>
  </si>
  <si>
    <t>超重原因說明</t>
    <phoneticPr fontId="10" type="noConversion"/>
  </si>
  <si>
    <t>ESP1A</t>
  </si>
  <si>
    <t>陳凱樂</t>
  </si>
  <si>
    <t>陳嘉希</t>
  </si>
  <si>
    <t>陳柏軒</t>
  </si>
  <si>
    <t>陳永宸</t>
  </si>
  <si>
    <t>鄭鎧恩</t>
  </si>
  <si>
    <t>張汐堯</t>
  </si>
  <si>
    <t>張筠甯</t>
  </si>
  <si>
    <t>張舜宇</t>
  </si>
  <si>
    <t>蔡柏炎</t>
  </si>
  <si>
    <t>姚芯玥</t>
  </si>
  <si>
    <t>江沂蔓</t>
  </si>
  <si>
    <t>黎樂曦</t>
  </si>
  <si>
    <t>林靜雅</t>
  </si>
  <si>
    <t>林一諾</t>
  </si>
  <si>
    <t>林潁喬</t>
  </si>
  <si>
    <t>梁曦臣</t>
  </si>
  <si>
    <t>梁晧政</t>
  </si>
  <si>
    <t>廖焯軒</t>
  </si>
  <si>
    <t>龍泓諾</t>
  </si>
  <si>
    <t>勞雨蔓</t>
  </si>
  <si>
    <t>麥頌茵</t>
  </si>
  <si>
    <t>吳思雅</t>
  </si>
  <si>
    <t>施蕎</t>
  </si>
  <si>
    <t>鄧芷悠</t>
  </si>
  <si>
    <t>黃睿宸</t>
  </si>
  <si>
    <t>王心悠</t>
  </si>
  <si>
    <t>黃語晴</t>
  </si>
  <si>
    <t>胡家馨</t>
  </si>
  <si>
    <t>袁碩謙</t>
  </si>
  <si>
    <t>鄭舒文</t>
  </si>
  <si>
    <t>ESP1B</t>
  </si>
  <si>
    <t>車雨欣</t>
  </si>
  <si>
    <t>植俊豪</t>
  </si>
  <si>
    <t>張軒瑋</t>
  </si>
  <si>
    <t>張梓媱</t>
  </si>
  <si>
    <t>趙芷晴</t>
  </si>
  <si>
    <t>趙允曦</t>
  </si>
  <si>
    <t>蔡向堯</t>
  </si>
  <si>
    <t>何恩言</t>
  </si>
  <si>
    <t>洪頌恆</t>
  </si>
  <si>
    <t>甄善潼</t>
  </si>
  <si>
    <t>姚洛琳</t>
  </si>
  <si>
    <t>高正曦</t>
  </si>
  <si>
    <t>關樂瀅</t>
  </si>
  <si>
    <t>林子瑜</t>
  </si>
  <si>
    <t>李奕言</t>
  </si>
  <si>
    <t>李晨熙</t>
  </si>
  <si>
    <t>梁樂菲</t>
  </si>
  <si>
    <t>梁宇皓</t>
  </si>
  <si>
    <t>梁穎琳</t>
  </si>
  <si>
    <t>雷子琳</t>
  </si>
  <si>
    <t>呂文滔</t>
  </si>
  <si>
    <t>馬梓舜</t>
  </si>
  <si>
    <t>沈杺杺</t>
  </si>
  <si>
    <t>史鈅楹</t>
  </si>
  <si>
    <t>余枋樺</t>
  </si>
  <si>
    <t>黃政霖</t>
  </si>
  <si>
    <t>黃凱盈</t>
  </si>
  <si>
    <t>黃語昕</t>
  </si>
  <si>
    <t>薛繁享</t>
  </si>
  <si>
    <t>趙若彤</t>
  </si>
  <si>
    <t>ESP2A</t>
  </si>
  <si>
    <t>歐佳螢</t>
  </si>
  <si>
    <t>陳巧潼</t>
  </si>
  <si>
    <t>陳栩賢</t>
  </si>
  <si>
    <t>陳暐丞</t>
  </si>
  <si>
    <t>張睿朗</t>
  </si>
  <si>
    <t>張雨菲</t>
  </si>
  <si>
    <t>趙凱琳</t>
  </si>
  <si>
    <t>何芍璿</t>
  </si>
  <si>
    <t>何浚希</t>
  </si>
  <si>
    <t>何柏熹</t>
  </si>
  <si>
    <t>許紹恆</t>
  </si>
  <si>
    <t>黃樂怡</t>
  </si>
  <si>
    <t>葉政希</t>
  </si>
  <si>
    <t>葉卓翹</t>
  </si>
  <si>
    <t>甘曉瀅</t>
  </si>
  <si>
    <t>官澔錡</t>
  </si>
  <si>
    <t>林子宸</t>
  </si>
  <si>
    <t>林豫承</t>
  </si>
  <si>
    <t>李澄恩</t>
  </si>
  <si>
    <t>梁焯盈</t>
  </si>
  <si>
    <t>羅恩霖</t>
  </si>
  <si>
    <t>盧君樂</t>
  </si>
  <si>
    <t>吳卓洋</t>
  </si>
  <si>
    <t>吳倬賢</t>
  </si>
  <si>
    <t>倪梓蕎</t>
  </si>
  <si>
    <t>蕭穎芯</t>
  </si>
  <si>
    <t>譚曉悅</t>
  </si>
  <si>
    <t>溫可然</t>
  </si>
  <si>
    <t>黃俊熹</t>
  </si>
  <si>
    <t>黃芯妤</t>
  </si>
  <si>
    <t>ESP2B</t>
  </si>
  <si>
    <t>歐陽諾軒</t>
  </si>
  <si>
    <t>陳靖</t>
  </si>
  <si>
    <t>陳晉毅</t>
  </si>
  <si>
    <t>陳皓澄</t>
  </si>
  <si>
    <t>徐曦辰</t>
  </si>
  <si>
    <t>朱珈漩</t>
  </si>
  <si>
    <t>施曦言</t>
  </si>
  <si>
    <t>馮雋謙</t>
  </si>
  <si>
    <t>何梓睿</t>
  </si>
  <si>
    <t>何詠芊</t>
  </si>
  <si>
    <t>劉芊妤</t>
  </si>
  <si>
    <t>劉思妍</t>
  </si>
  <si>
    <t>劉駿樂</t>
  </si>
  <si>
    <t>李曦嵐</t>
  </si>
  <si>
    <t>廖思澄</t>
  </si>
  <si>
    <t>呂浠悅</t>
  </si>
  <si>
    <t>陸妤澄</t>
  </si>
  <si>
    <t>盧子俊</t>
  </si>
  <si>
    <t>盧家朗</t>
  </si>
  <si>
    <t>麥可悠</t>
  </si>
  <si>
    <t>吳政霖</t>
  </si>
  <si>
    <t>吳旻謙</t>
  </si>
  <si>
    <t>吳晨恩</t>
  </si>
  <si>
    <t>吳宇嫣</t>
  </si>
  <si>
    <t>譚夢昕</t>
  </si>
  <si>
    <t>譚宏律</t>
  </si>
  <si>
    <t>余玥宜</t>
  </si>
  <si>
    <t>阮毅恩</t>
  </si>
  <si>
    <t>黃政康</t>
  </si>
  <si>
    <t>ESP3A</t>
  </si>
  <si>
    <t>陳翊曦</t>
  </si>
  <si>
    <t>蔡丞晉</t>
  </si>
  <si>
    <t>蔡常萱</t>
  </si>
  <si>
    <t>曹鉦曜</t>
  </si>
  <si>
    <t>周祉諾</t>
  </si>
  <si>
    <t>關巧琳</t>
  </si>
  <si>
    <t>賀施境</t>
  </si>
  <si>
    <t>何卓妍</t>
  </si>
  <si>
    <t>何兆軒</t>
  </si>
  <si>
    <t>何穎晴</t>
  </si>
  <si>
    <t>許俊羲</t>
  </si>
  <si>
    <t>許俊宇</t>
  </si>
  <si>
    <t>丘裕</t>
  </si>
  <si>
    <t>高藯芯</t>
  </si>
  <si>
    <t>關樂晴</t>
  </si>
  <si>
    <t>林卓萳</t>
  </si>
  <si>
    <t>劉俊言</t>
  </si>
  <si>
    <t>李沚蕊</t>
  </si>
  <si>
    <t>李瑋甯</t>
  </si>
  <si>
    <t>梁睿謙</t>
  </si>
  <si>
    <t>梁柏曦</t>
  </si>
  <si>
    <t>雷昊濬</t>
  </si>
  <si>
    <t>麥凱皓</t>
  </si>
  <si>
    <t>吳桐</t>
  </si>
  <si>
    <t>吳玥怡</t>
  </si>
  <si>
    <t>孫一甯</t>
  </si>
  <si>
    <t>黃恩穎</t>
  </si>
  <si>
    <t>黃睿泓</t>
  </si>
  <si>
    <t>黃紫柔</t>
  </si>
  <si>
    <t>黃愛婷</t>
  </si>
  <si>
    <t>ESP3B</t>
  </si>
  <si>
    <t>歐皓然</t>
  </si>
  <si>
    <t>陳曉芙</t>
  </si>
  <si>
    <t>陳筠玥</t>
  </si>
  <si>
    <t>曾栢洋</t>
  </si>
  <si>
    <t>鄭澤添</t>
  </si>
  <si>
    <t>張靖澄</t>
  </si>
  <si>
    <t>張澔霖</t>
  </si>
  <si>
    <t>庄芷沁</t>
  </si>
  <si>
    <t>黃諾彤</t>
  </si>
  <si>
    <t>葉梓彤</t>
  </si>
  <si>
    <t>江諾懿</t>
  </si>
  <si>
    <t>關芷柔</t>
  </si>
  <si>
    <t>林祉賢</t>
  </si>
  <si>
    <t>林泓政</t>
  </si>
  <si>
    <t>劉晞琳</t>
  </si>
  <si>
    <t>羅允熙</t>
  </si>
  <si>
    <t>李俊懿</t>
  </si>
  <si>
    <t>梁婉芊</t>
  </si>
  <si>
    <t>劉欣麗</t>
  </si>
  <si>
    <t>盧嘉瑩</t>
  </si>
  <si>
    <t>龍浠媛</t>
  </si>
  <si>
    <t>盧治匡</t>
  </si>
  <si>
    <t>莫沁甯</t>
  </si>
  <si>
    <t>蘇霈暄</t>
  </si>
  <si>
    <t>譚宏靖</t>
  </si>
  <si>
    <t>黃政謙</t>
  </si>
  <si>
    <t>黃逸然</t>
  </si>
  <si>
    <t>黃悅穎</t>
  </si>
  <si>
    <t>黃泓熹</t>
  </si>
  <si>
    <t>ESP4A</t>
  </si>
  <si>
    <t>陳芷瑩</t>
  </si>
  <si>
    <t>陳宥延</t>
  </si>
  <si>
    <t>陳泳楠</t>
  </si>
  <si>
    <t>曾浩然</t>
  </si>
  <si>
    <t>周羿宏</t>
  </si>
  <si>
    <t>鄭沃嵐</t>
  </si>
  <si>
    <t>張芷澄</t>
  </si>
  <si>
    <t>張睿希</t>
  </si>
  <si>
    <t>蔡泊宇</t>
  </si>
  <si>
    <t>庄竣皓</t>
  </si>
  <si>
    <t>朱劻洐</t>
  </si>
  <si>
    <t>朱穎妍</t>
  </si>
  <si>
    <t>何靖時</t>
  </si>
  <si>
    <t>何馨悅</t>
  </si>
  <si>
    <t>洪宇禧</t>
  </si>
  <si>
    <t>甘曉亮</t>
  </si>
  <si>
    <t>林梓潁</t>
  </si>
  <si>
    <t>林孝準</t>
  </si>
  <si>
    <t>林佳淇</t>
  </si>
  <si>
    <t>李皓彰</t>
  </si>
  <si>
    <t>李東泰</t>
  </si>
  <si>
    <t>梁穎欣</t>
  </si>
  <si>
    <t>廖婥潼</t>
  </si>
  <si>
    <t>馬翊晨</t>
  </si>
  <si>
    <t>麥林燕</t>
  </si>
  <si>
    <t>倪梓瑜</t>
  </si>
  <si>
    <t>龎子晴</t>
  </si>
  <si>
    <t>蘇伊澄</t>
  </si>
  <si>
    <t>譚心喬</t>
  </si>
  <si>
    <t>譚悅兒</t>
  </si>
  <si>
    <t>余曉陽</t>
  </si>
  <si>
    <t>余韋臻</t>
  </si>
  <si>
    <t>黃芷俞</t>
  </si>
  <si>
    <t>ESP4B</t>
  </si>
  <si>
    <t>歐陽玥</t>
  </si>
  <si>
    <t>歐陽芯玥</t>
  </si>
  <si>
    <t>李心諾</t>
  </si>
  <si>
    <t>鄭淏謙</t>
  </si>
  <si>
    <t>鄭伊瑩</t>
  </si>
  <si>
    <t>鄭婉琳</t>
  </si>
  <si>
    <t>鄭婉芯</t>
  </si>
  <si>
    <t>程凱峰</t>
  </si>
  <si>
    <t>張君祐</t>
  </si>
  <si>
    <t>張馨宇</t>
  </si>
  <si>
    <t>趙帖心</t>
  </si>
  <si>
    <t>鍾宇軒</t>
  </si>
  <si>
    <t>何曌正</t>
  </si>
  <si>
    <t>邱千宸</t>
  </si>
  <si>
    <t>葉雨希</t>
  </si>
  <si>
    <t>高婥蕾</t>
  </si>
  <si>
    <t>黎晨曦</t>
  </si>
  <si>
    <t>林柏澔</t>
  </si>
  <si>
    <t>劉凌予</t>
  </si>
  <si>
    <t>劉思源</t>
  </si>
  <si>
    <t>李梓筠</t>
  </si>
  <si>
    <t>李俊賢</t>
  </si>
  <si>
    <t>李洛瑤</t>
  </si>
  <si>
    <t>李悅</t>
  </si>
  <si>
    <t>梁希洛</t>
  </si>
  <si>
    <t>梁鎧泓</t>
  </si>
  <si>
    <t>吳宛穎</t>
  </si>
  <si>
    <t>談梓澄</t>
  </si>
  <si>
    <t>鄧卓峰</t>
  </si>
  <si>
    <t>余昭賢</t>
  </si>
  <si>
    <t>尹嘉毅</t>
  </si>
  <si>
    <t>胡樂貽</t>
  </si>
  <si>
    <t>ESP5A</t>
  </si>
  <si>
    <t>區穎晴</t>
  </si>
  <si>
    <t>區諾晞</t>
  </si>
  <si>
    <t>歐陽澔政</t>
  </si>
  <si>
    <t>陳梓琳</t>
  </si>
  <si>
    <t>陳子瑜</t>
  </si>
  <si>
    <t>張誠軒</t>
  </si>
  <si>
    <t>張詩霖</t>
  </si>
  <si>
    <t>趙悠言</t>
  </si>
  <si>
    <t>馮小芸</t>
  </si>
  <si>
    <t>何卓澧</t>
  </si>
  <si>
    <t>何艾芯</t>
  </si>
  <si>
    <t>許子欣</t>
  </si>
  <si>
    <t>葉栢晞</t>
  </si>
  <si>
    <t>郭政賢</t>
  </si>
  <si>
    <t>郭柯延</t>
  </si>
  <si>
    <t>林莃潼</t>
  </si>
  <si>
    <t>李芊妤</t>
  </si>
  <si>
    <t>李沁悠</t>
  </si>
  <si>
    <t>李思齊</t>
  </si>
  <si>
    <t>梁焯維</t>
  </si>
  <si>
    <t>羅卓祈</t>
  </si>
  <si>
    <t>雷昊洋</t>
  </si>
  <si>
    <t>盧濼潼</t>
  </si>
  <si>
    <t>麥頌勛</t>
  </si>
  <si>
    <t>莫澔翔</t>
  </si>
  <si>
    <t>蘇旻竣</t>
  </si>
  <si>
    <t>吳彥韜</t>
  </si>
  <si>
    <t>吳佩妤</t>
  </si>
  <si>
    <t>施悅兒</t>
  </si>
  <si>
    <t>孫藝嘉</t>
  </si>
  <si>
    <t>戴琦琳</t>
  </si>
  <si>
    <t>杜紫穎</t>
  </si>
  <si>
    <t>黃皓賢</t>
  </si>
  <si>
    <t>胡嘉雯</t>
  </si>
  <si>
    <t>ESP5B</t>
  </si>
  <si>
    <t>張子倫</t>
  </si>
  <si>
    <t>陳熙文</t>
  </si>
  <si>
    <t>陳琛瑜</t>
  </si>
  <si>
    <t>陳天衡</t>
  </si>
  <si>
    <t>陳梓君</t>
  </si>
  <si>
    <t>陳韋聿</t>
  </si>
  <si>
    <t>張震灝</t>
  </si>
  <si>
    <t>張思晴</t>
  </si>
  <si>
    <t>何潁熹</t>
  </si>
  <si>
    <t>翁楚晴</t>
  </si>
  <si>
    <t>翁永祺</t>
  </si>
  <si>
    <t>高詠桐</t>
  </si>
  <si>
    <t>關穎瑜</t>
  </si>
  <si>
    <t>黎卓謙</t>
  </si>
  <si>
    <t>賴珀迪</t>
  </si>
  <si>
    <t>林厚宏</t>
  </si>
  <si>
    <t>林樂暚</t>
  </si>
  <si>
    <t>林寶祺</t>
  </si>
  <si>
    <t>林培鈺</t>
  </si>
  <si>
    <t>林信穎</t>
  </si>
  <si>
    <t>婁家軒</t>
  </si>
  <si>
    <t>李澄匡</t>
  </si>
  <si>
    <t>李奕翹</t>
  </si>
  <si>
    <t>李君蕎</t>
  </si>
  <si>
    <t>李汶羲</t>
  </si>
  <si>
    <t>李芯緹</t>
  </si>
  <si>
    <t>梁潔婷</t>
  </si>
  <si>
    <t>梁傲澄</t>
  </si>
  <si>
    <t>勞恆熙</t>
  </si>
  <si>
    <t>顏正行</t>
  </si>
  <si>
    <t>蔡卓諴</t>
  </si>
  <si>
    <t>蔡兆峰</t>
  </si>
  <si>
    <t>黃嘉鴻</t>
  </si>
  <si>
    <t>黃愛穎</t>
  </si>
  <si>
    <t>ESP6A</t>
  </si>
  <si>
    <t>陳俊浩</t>
  </si>
  <si>
    <t>陳泓霖</t>
  </si>
  <si>
    <t>趙昕妍</t>
  </si>
  <si>
    <t>莊詠琳</t>
  </si>
  <si>
    <t>何穎詩</t>
  </si>
  <si>
    <t>翁永昊</t>
  </si>
  <si>
    <t>高俊傑</t>
  </si>
  <si>
    <t>林倬堯</t>
  </si>
  <si>
    <t>林君諾</t>
  </si>
  <si>
    <t>林樂澄</t>
  </si>
  <si>
    <t>林佩雯</t>
  </si>
  <si>
    <t>李卓叡</t>
  </si>
  <si>
    <t>李梓嵐</t>
  </si>
  <si>
    <t>李瑋然</t>
  </si>
  <si>
    <t>李泓熹</t>
  </si>
  <si>
    <t>梁凱嵐</t>
  </si>
  <si>
    <t>梁洛霖</t>
  </si>
  <si>
    <t>呂芷潼</t>
  </si>
  <si>
    <t>李昊天</t>
  </si>
  <si>
    <t>黎家萱</t>
  </si>
  <si>
    <t>林子銳</t>
  </si>
  <si>
    <t>勞雨芊</t>
  </si>
  <si>
    <t>吳恩熙</t>
  </si>
  <si>
    <t>吳鋌軒</t>
  </si>
  <si>
    <t>湯菀晴</t>
  </si>
  <si>
    <t>蔡偉程</t>
  </si>
  <si>
    <t>余貝宜</t>
  </si>
  <si>
    <t>王嘉琪</t>
  </si>
  <si>
    <t>黃紫瀠</t>
  </si>
  <si>
    <t>黃芊愉</t>
  </si>
  <si>
    <t>黃雲摯</t>
  </si>
  <si>
    <t>胡樂晞</t>
  </si>
  <si>
    <t>ESP6B</t>
  </si>
  <si>
    <t>歐陽靜</t>
  </si>
  <si>
    <t>區苑渝</t>
  </si>
  <si>
    <t>陳芷妍</t>
  </si>
  <si>
    <t>陳梓茹</t>
  </si>
  <si>
    <t>陳俊熹</t>
  </si>
  <si>
    <t>蔡奷攸</t>
  </si>
  <si>
    <t>周柏熹</t>
  </si>
  <si>
    <t>鄒思穎</t>
  </si>
  <si>
    <t>陳紫曦</t>
  </si>
  <si>
    <t>施曦洋</t>
  </si>
  <si>
    <t>何靖詩</t>
  </si>
  <si>
    <t>何卓騏</t>
  </si>
  <si>
    <t>何睿朗</t>
  </si>
  <si>
    <t>孔慶哲</t>
  </si>
  <si>
    <t>甄芷晴</t>
  </si>
  <si>
    <t>楊梓霖</t>
  </si>
  <si>
    <t>楊諾言</t>
  </si>
  <si>
    <t>高諾言</t>
  </si>
  <si>
    <t>關鈺如</t>
  </si>
  <si>
    <t>林穎晞</t>
  </si>
  <si>
    <t>劉柏源</t>
  </si>
  <si>
    <t>李佳妍</t>
  </si>
  <si>
    <t>梁晞晨</t>
  </si>
  <si>
    <t>李善雯</t>
  </si>
  <si>
    <t>湯梓揚</t>
  </si>
  <si>
    <t>黃卓毅</t>
  </si>
  <si>
    <t>黃紫嫣</t>
  </si>
  <si>
    <t>黃奕銘</t>
  </si>
  <si>
    <t>黃美亞</t>
  </si>
  <si>
    <t>黃雨蕎</t>
  </si>
  <si>
    <t>黃永麟</t>
  </si>
  <si>
    <t>嚴日禧</t>
  </si>
  <si>
    <t>ESP1A-1</t>
  </si>
  <si>
    <t>ESP1A-2</t>
  </si>
  <si>
    <t>ESP1A-3</t>
  </si>
  <si>
    <t>ESP1A-4</t>
  </si>
  <si>
    <t>ESP1A-5</t>
  </si>
  <si>
    <t>ESP1A-6</t>
  </si>
  <si>
    <t>ESP1A-7</t>
  </si>
  <si>
    <t>ESP1A-8</t>
  </si>
  <si>
    <t>ESP1A-9</t>
  </si>
  <si>
    <t>ESP1A-10</t>
  </si>
  <si>
    <t>ESP1A-11</t>
  </si>
  <si>
    <t>ESP1A-12</t>
  </si>
  <si>
    <t>ESP1A-13</t>
  </si>
  <si>
    <t>ESP1A-14</t>
  </si>
  <si>
    <t>ESP1A-15</t>
  </si>
  <si>
    <t>ESP1A-16</t>
  </si>
  <si>
    <t>ESP1A-17</t>
  </si>
  <si>
    <t>ESP1A-18</t>
  </si>
  <si>
    <t>ESP1A-19</t>
  </si>
  <si>
    <t>ESP1A-20</t>
  </si>
  <si>
    <t>ESP1A-21</t>
  </si>
  <si>
    <t>ESP1A-22</t>
  </si>
  <si>
    <t>ESP1A-23</t>
  </si>
  <si>
    <t>ESP1A-24</t>
  </si>
  <si>
    <t>ESP1A-25</t>
  </si>
  <si>
    <t>ESP1A-26</t>
  </si>
  <si>
    <t>ESP1A-27</t>
  </si>
  <si>
    <t>ESP1A-28</t>
  </si>
  <si>
    <t>ESP1A-29</t>
  </si>
  <si>
    <t>ESP1A-30</t>
  </si>
  <si>
    <t>ESP1B-1</t>
  </si>
  <si>
    <t>ESP1B-2</t>
  </si>
  <si>
    <t>ESP1B-3</t>
  </si>
  <si>
    <t>ESP1B-4</t>
  </si>
  <si>
    <t>ESP1B-5</t>
  </si>
  <si>
    <t>ESP1B-6</t>
  </si>
  <si>
    <t>ESP1B-7</t>
  </si>
  <si>
    <t>ESP1B-8</t>
  </si>
  <si>
    <t>ESP1B-9</t>
  </si>
  <si>
    <t>ESP1B-10</t>
  </si>
  <si>
    <t>ESP1B-11</t>
  </si>
  <si>
    <t>ESP1B-12</t>
  </si>
  <si>
    <t>ESP1B-13</t>
  </si>
  <si>
    <t>ESP1B-14</t>
  </si>
  <si>
    <t>ESP1B-15</t>
  </si>
  <si>
    <t>ESP1B-16</t>
  </si>
  <si>
    <t>ESP1B-17</t>
  </si>
  <si>
    <t>ESP1B-18</t>
  </si>
  <si>
    <t>ESP1B-19</t>
  </si>
  <si>
    <t>ESP1B-20</t>
  </si>
  <si>
    <t>ESP1B-21</t>
  </si>
  <si>
    <t>ESP1B-22</t>
  </si>
  <si>
    <t>ESP1B-23</t>
  </si>
  <si>
    <t>ESP1B-24</t>
  </si>
  <si>
    <t>ESP1B-25</t>
  </si>
  <si>
    <t>ESP1B-26</t>
  </si>
  <si>
    <t>ESP1B-27</t>
  </si>
  <si>
    <t>ESP1B-28</t>
  </si>
  <si>
    <t>ESP1B-29</t>
  </si>
  <si>
    <t>ESP1B-30</t>
  </si>
  <si>
    <t>ESP2A-1</t>
  </si>
  <si>
    <t>ESP2A-2</t>
  </si>
  <si>
    <t>ESP2A-3</t>
  </si>
  <si>
    <t>ESP2A-4</t>
  </si>
  <si>
    <t>ESP2A-5</t>
  </si>
  <si>
    <t>ESP2A-6</t>
  </si>
  <si>
    <t>ESP2A-7</t>
  </si>
  <si>
    <t>ESP2A-8</t>
  </si>
  <si>
    <t>ESP2A-9</t>
  </si>
  <si>
    <t>ESP2A-10</t>
  </si>
  <si>
    <t>ESP2A-11</t>
  </si>
  <si>
    <t>ESP2A-12</t>
  </si>
  <si>
    <t>ESP2A-13</t>
  </si>
  <si>
    <t>ESP2A-14</t>
  </si>
  <si>
    <t>ESP2A-15</t>
  </si>
  <si>
    <t>ESP2A-16</t>
  </si>
  <si>
    <t>ESP2A-17</t>
  </si>
  <si>
    <t>ESP2A-18</t>
  </si>
  <si>
    <t>ESP2A-19</t>
  </si>
  <si>
    <t>ESP2A-20</t>
  </si>
  <si>
    <t>ESP2A-21</t>
  </si>
  <si>
    <t>ESP2A-22</t>
  </si>
  <si>
    <t>ESP2A-23</t>
  </si>
  <si>
    <t>ESP2A-24</t>
  </si>
  <si>
    <t>ESP2A-25</t>
  </si>
  <si>
    <t>ESP2A-26</t>
  </si>
  <si>
    <t>ESP2A-27</t>
  </si>
  <si>
    <t>ESP2A-28</t>
  </si>
  <si>
    <t>ESP2A-29</t>
  </si>
  <si>
    <t>ESP2A-30</t>
  </si>
  <si>
    <t>ESP2B-1</t>
  </si>
  <si>
    <t>ESP2B-2</t>
  </si>
  <si>
    <t>ESP2B-3</t>
  </si>
  <si>
    <t>ESP2B-4</t>
  </si>
  <si>
    <t>ESP2B-5</t>
  </si>
  <si>
    <t>ESP2B-6</t>
  </si>
  <si>
    <t>ESP2B-7</t>
  </si>
  <si>
    <t>ESP2B-8</t>
  </si>
  <si>
    <t>ESP2B-9</t>
  </si>
  <si>
    <t>ESP2B-10</t>
  </si>
  <si>
    <t>ESP2B-11</t>
  </si>
  <si>
    <t>ESP2B-12</t>
  </si>
  <si>
    <t>ESP2B-13</t>
  </si>
  <si>
    <t>ESP2B-14</t>
  </si>
  <si>
    <t>ESP2B-15</t>
  </si>
  <si>
    <t>ESP2B-16</t>
  </si>
  <si>
    <t>ESP2B-17</t>
  </si>
  <si>
    <t>ESP2B-18</t>
  </si>
  <si>
    <t>ESP2B-19</t>
  </si>
  <si>
    <t>ESP2B-20</t>
  </si>
  <si>
    <t>ESP2B-21</t>
  </si>
  <si>
    <t>ESP2B-22</t>
  </si>
  <si>
    <t>ESP2B-23</t>
  </si>
  <si>
    <t>ESP2B-24</t>
  </si>
  <si>
    <t>ESP2B-25</t>
  </si>
  <si>
    <t>ESP2B-26</t>
  </si>
  <si>
    <t>ESP2B-27</t>
  </si>
  <si>
    <t>ESP2B-28</t>
  </si>
  <si>
    <t>ESP2B-29</t>
  </si>
  <si>
    <t>ESP3A-1</t>
  </si>
  <si>
    <t>ESP3A-2</t>
  </si>
  <si>
    <t>ESP3A-3</t>
  </si>
  <si>
    <t>ESP3A-4</t>
  </si>
  <si>
    <t>ESP3A-5</t>
  </si>
  <si>
    <t>ESP3A-6</t>
  </si>
  <si>
    <t>ESP3A-7</t>
  </si>
  <si>
    <t>ESP3A-8</t>
  </si>
  <si>
    <t>ESP3A-9</t>
  </si>
  <si>
    <t>ESP3A-10</t>
  </si>
  <si>
    <t>ESP3A-11</t>
  </si>
  <si>
    <t>ESP3A-12</t>
  </si>
  <si>
    <t>ESP3A-13</t>
  </si>
  <si>
    <t>ESP3A-14</t>
  </si>
  <si>
    <t>ESP3A-15</t>
  </si>
  <si>
    <t>ESP3A-16</t>
  </si>
  <si>
    <t>ESP3A-17</t>
  </si>
  <si>
    <t>ESP3A-18</t>
  </si>
  <si>
    <t>ESP3A-19</t>
  </si>
  <si>
    <t>ESP3A-20</t>
  </si>
  <si>
    <t>ESP3A-21</t>
  </si>
  <si>
    <t>ESP3A-22</t>
  </si>
  <si>
    <t>ESP3A-23</t>
  </si>
  <si>
    <t>ESP3A-24</t>
  </si>
  <si>
    <t>ESP3A-25</t>
  </si>
  <si>
    <t>ESP3A-26</t>
  </si>
  <si>
    <t>ESP3A-27</t>
  </si>
  <si>
    <t>ESP3A-28</t>
  </si>
  <si>
    <t>ESP3A-29</t>
  </si>
  <si>
    <t>ESP3A-30</t>
  </si>
  <si>
    <t>ESP3B-1</t>
  </si>
  <si>
    <t>ESP3B-2</t>
  </si>
  <si>
    <t>ESP3B-3</t>
  </si>
  <si>
    <t>ESP3B-4</t>
  </si>
  <si>
    <t>ESP3B-5</t>
  </si>
  <si>
    <t>ESP3B-6</t>
  </si>
  <si>
    <t>ESP3B-7</t>
  </si>
  <si>
    <t>ESP3B-8</t>
  </si>
  <si>
    <t>ESP3B-9</t>
  </si>
  <si>
    <t>ESP3B-10</t>
  </si>
  <si>
    <t>ESP3B-11</t>
  </si>
  <si>
    <t>ESP3B-12</t>
  </si>
  <si>
    <t>ESP3B-13</t>
  </si>
  <si>
    <t>ESP3B-14</t>
  </si>
  <si>
    <t>ESP3B-15</t>
  </si>
  <si>
    <t>ESP3B-16</t>
  </si>
  <si>
    <t>ESP3B-17</t>
  </si>
  <si>
    <t>ESP3B-18</t>
  </si>
  <si>
    <t>ESP3B-19</t>
  </si>
  <si>
    <t>ESP3B-20</t>
  </si>
  <si>
    <t>ESP3B-21</t>
  </si>
  <si>
    <t>ESP3B-22</t>
  </si>
  <si>
    <t>ESP3B-23</t>
  </si>
  <si>
    <t>ESP3B-24</t>
  </si>
  <si>
    <t>ESP3B-25</t>
  </si>
  <si>
    <t>ESP3B-26</t>
  </si>
  <si>
    <t>ESP3B-27</t>
  </si>
  <si>
    <t>ESP3B-28</t>
  </si>
  <si>
    <t>ESP3B-29</t>
  </si>
  <si>
    <t>ESP4A-1</t>
  </si>
  <si>
    <t>ESP4A-2</t>
  </si>
  <si>
    <t>ESP4A-3</t>
  </si>
  <si>
    <t>ESP4A-4</t>
  </si>
  <si>
    <t>ESP4A-5</t>
  </si>
  <si>
    <t>ESP4A-6</t>
  </si>
  <si>
    <t>ESP4A-7</t>
  </si>
  <si>
    <t>ESP4A-8</t>
  </si>
  <si>
    <t>ESP4A-9</t>
  </si>
  <si>
    <t>ESP4A-10</t>
  </si>
  <si>
    <t>ESP4A-11</t>
  </si>
  <si>
    <t>ESP4A-12</t>
  </si>
  <si>
    <t>ESP4A-13</t>
  </si>
  <si>
    <t>ESP4A-14</t>
  </si>
  <si>
    <t>ESP4A-15</t>
  </si>
  <si>
    <t>ESP4A-16</t>
  </si>
  <si>
    <t>ESP4A-17</t>
  </si>
  <si>
    <t>ESP4A-18</t>
  </si>
  <si>
    <t>ESP4A-19</t>
  </si>
  <si>
    <t>ESP4A-20</t>
  </si>
  <si>
    <t>ESP4A-21</t>
  </si>
  <si>
    <t>ESP4A-22</t>
  </si>
  <si>
    <t>ESP4A-23</t>
  </si>
  <si>
    <t>ESP4A-24</t>
  </si>
  <si>
    <t>ESP4A-25</t>
  </si>
  <si>
    <t>ESP4A-26</t>
  </si>
  <si>
    <t>ESP4A-27</t>
  </si>
  <si>
    <t>ESP4A-28</t>
  </si>
  <si>
    <t>ESP4A-29</t>
  </si>
  <si>
    <t>ESP4A-30</t>
  </si>
  <si>
    <t>ESP4A-31</t>
  </si>
  <si>
    <t>ESP4A-32</t>
  </si>
  <si>
    <t>ESP4A-33</t>
  </si>
  <si>
    <t>ESP4B-1</t>
  </si>
  <si>
    <t>ESP4B-2</t>
  </si>
  <si>
    <t>ESP4B-3</t>
  </si>
  <si>
    <t>ESP4B-4</t>
  </si>
  <si>
    <t>ESP4B-5</t>
  </si>
  <si>
    <t>ESP4B-6</t>
  </si>
  <si>
    <t>ESP4B-7</t>
  </si>
  <si>
    <t>ESP4B-8</t>
  </si>
  <si>
    <t>ESP4B-9</t>
  </si>
  <si>
    <t>ESP4B-10</t>
  </si>
  <si>
    <t>ESP4B-11</t>
  </si>
  <si>
    <t>ESP4B-12</t>
  </si>
  <si>
    <t>ESP4B-13</t>
  </si>
  <si>
    <t>ESP4B-14</t>
  </si>
  <si>
    <t>ESP4B-15</t>
  </si>
  <si>
    <t>ESP4B-16</t>
  </si>
  <si>
    <t>ESP4B-17</t>
  </si>
  <si>
    <t>ESP4B-18</t>
  </si>
  <si>
    <t>ESP4B-19</t>
  </si>
  <si>
    <t>ESP4B-20</t>
  </si>
  <si>
    <t>ESP4B-21</t>
  </si>
  <si>
    <t>ESP4B-22</t>
  </si>
  <si>
    <t>ESP4B-23</t>
  </si>
  <si>
    <t>ESP4B-24</t>
  </si>
  <si>
    <t>ESP4B-25</t>
  </si>
  <si>
    <t>ESP4B-26</t>
  </si>
  <si>
    <t>ESP4B-27</t>
  </si>
  <si>
    <t>ESP4B-28</t>
  </si>
  <si>
    <t>ESP4B-29</t>
  </si>
  <si>
    <t>ESP4B-30</t>
  </si>
  <si>
    <t>ESP4B-31</t>
  </si>
  <si>
    <t>ESP4B-32</t>
  </si>
  <si>
    <t>ESP5A-1</t>
  </si>
  <si>
    <t>ESP5A-2</t>
  </si>
  <si>
    <t>ESP5A-3</t>
  </si>
  <si>
    <t>ESP5A-4</t>
  </si>
  <si>
    <t>ESP5A-5</t>
  </si>
  <si>
    <t>ESP5A-6</t>
  </si>
  <si>
    <t>ESP5A-7</t>
  </si>
  <si>
    <t>ESP5A-8</t>
  </si>
  <si>
    <t>ESP5A-9</t>
  </si>
  <si>
    <t>ESP5A-10</t>
  </si>
  <si>
    <t>ESP5A-11</t>
  </si>
  <si>
    <t>ESP5A-12</t>
  </si>
  <si>
    <t>ESP5A-13</t>
  </si>
  <si>
    <t>ESP5A-14</t>
  </si>
  <si>
    <t>ESP5A-15</t>
  </si>
  <si>
    <t>ESP5A-16</t>
  </si>
  <si>
    <t>ESP5A-17</t>
  </si>
  <si>
    <t>ESP5A-18</t>
  </si>
  <si>
    <t>ESP5A-19</t>
  </si>
  <si>
    <t>ESP5A-20</t>
  </si>
  <si>
    <t>ESP5A-21</t>
  </si>
  <si>
    <t>ESP5A-22</t>
  </si>
  <si>
    <t>ESP5A-23</t>
  </si>
  <si>
    <t>ESP5A-24</t>
  </si>
  <si>
    <t>ESP5A-25</t>
  </si>
  <si>
    <t>ESP5A-26</t>
  </si>
  <si>
    <t>ESP5A-27</t>
  </si>
  <si>
    <t>ESP5A-28</t>
  </si>
  <si>
    <t>ESP5A-29</t>
  </si>
  <si>
    <t>ESP5A-30</t>
  </si>
  <si>
    <t>ESP5A-31</t>
  </si>
  <si>
    <t>ESP5A-32</t>
  </si>
  <si>
    <t>ESP5A-33</t>
  </si>
  <si>
    <t>ESP5A-34</t>
  </si>
  <si>
    <t>ESP5A-35</t>
  </si>
  <si>
    <t>ESP5B-1</t>
  </si>
  <si>
    <t>ESP5B-2</t>
  </si>
  <si>
    <t>ESP5B-3</t>
  </si>
  <si>
    <t>ESP5B-4</t>
  </si>
  <si>
    <t>ESP5B-5</t>
  </si>
  <si>
    <t>ESP5B-6</t>
  </si>
  <si>
    <t>ESP5B-7</t>
  </si>
  <si>
    <t>ESP5B-8</t>
  </si>
  <si>
    <t>ESP5B-9</t>
  </si>
  <si>
    <t>ESP5B-10</t>
  </si>
  <si>
    <t>ESP5B-11</t>
  </si>
  <si>
    <t>ESP5B-12</t>
  </si>
  <si>
    <t>ESP5B-13</t>
  </si>
  <si>
    <t>ESP5B-14</t>
  </si>
  <si>
    <t>ESP5B-15</t>
  </si>
  <si>
    <t>ESP5B-16</t>
  </si>
  <si>
    <t>ESP5B-17</t>
  </si>
  <si>
    <t>ESP5B-18</t>
  </si>
  <si>
    <t>ESP5B-19</t>
  </si>
  <si>
    <t>ESP5B-20</t>
  </si>
  <si>
    <t>ESP5B-21</t>
  </si>
  <si>
    <t>ESP5B-22</t>
  </si>
  <si>
    <t>ESP5B-23</t>
  </si>
  <si>
    <t>ESP5B-24</t>
  </si>
  <si>
    <t>ESP5B-25</t>
  </si>
  <si>
    <t>ESP5B-26</t>
  </si>
  <si>
    <t>ESP5B-27</t>
  </si>
  <si>
    <t>ESP5B-28</t>
  </si>
  <si>
    <t>ESP5B-29</t>
  </si>
  <si>
    <t>ESP5B-30</t>
  </si>
  <si>
    <t>ESP5B-31</t>
  </si>
  <si>
    <t>ESP5B-32</t>
  </si>
  <si>
    <t>ESP5B-33</t>
  </si>
  <si>
    <t>ESP5B-34</t>
  </si>
  <si>
    <t>ESP5B-35</t>
  </si>
  <si>
    <t>ESP6A-1</t>
  </si>
  <si>
    <t>ESP6A-2</t>
  </si>
  <si>
    <t>ESP6A-3</t>
  </si>
  <si>
    <t>ESP6A-4</t>
  </si>
  <si>
    <t>ESP6A-5</t>
  </si>
  <si>
    <t>ESP6A-6</t>
  </si>
  <si>
    <t>ESP6A-7</t>
  </si>
  <si>
    <t>ESP6A-8</t>
  </si>
  <si>
    <t>ESP6A-9</t>
  </si>
  <si>
    <t>ESP6A-10</t>
  </si>
  <si>
    <t>ESP6A-11</t>
  </si>
  <si>
    <t>ESP6A-12</t>
  </si>
  <si>
    <t>ESP6A-13</t>
  </si>
  <si>
    <t>ESP6A-14</t>
  </si>
  <si>
    <t>ESP6A-15</t>
  </si>
  <si>
    <t>ESP6A-16</t>
  </si>
  <si>
    <t>ESP6A-17</t>
  </si>
  <si>
    <t>ESP6A-18</t>
  </si>
  <si>
    <t>ESP6A-19</t>
  </si>
  <si>
    <t>ESP6A-20</t>
  </si>
  <si>
    <t>ESP6A-21</t>
  </si>
  <si>
    <t>ESP6A-22</t>
  </si>
  <si>
    <t>ESP6A-23</t>
  </si>
  <si>
    <t>ESP6A-24</t>
  </si>
  <si>
    <t>ESP6A-25</t>
  </si>
  <si>
    <t>ESP6A-26</t>
  </si>
  <si>
    <t>ESP6A-27</t>
  </si>
  <si>
    <t>ESP6A-28</t>
  </si>
  <si>
    <t>ESP6A-29</t>
  </si>
  <si>
    <t>ESP6A-30</t>
  </si>
  <si>
    <t>ESP6A-31</t>
  </si>
  <si>
    <t>ESP6A-32</t>
  </si>
  <si>
    <t>ESP6B-1</t>
  </si>
  <si>
    <t>ESP6B-2</t>
  </si>
  <si>
    <t>ESP6B-3</t>
  </si>
  <si>
    <t>ESP6B-4</t>
  </si>
  <si>
    <t>ESP6B-5</t>
  </si>
  <si>
    <t>ESP6B-6</t>
  </si>
  <si>
    <t>ESP6B-7</t>
  </si>
  <si>
    <t>ESP6B-8</t>
  </si>
  <si>
    <t>ESP6B-9</t>
  </si>
  <si>
    <t>ESP6B-10</t>
  </si>
  <si>
    <t>ESP6B-11</t>
  </si>
  <si>
    <t>ESP6B-12</t>
  </si>
  <si>
    <t>ESP6B-13</t>
  </si>
  <si>
    <t>ESP6B-14</t>
  </si>
  <si>
    <t>ESP6B-15</t>
  </si>
  <si>
    <t>ESP6B-16</t>
  </si>
  <si>
    <t>ESP6B-17</t>
  </si>
  <si>
    <t>ESP6B-18</t>
  </si>
  <si>
    <t>ESP6B-19</t>
  </si>
  <si>
    <t>ESP6B-20</t>
  </si>
  <si>
    <t>ESP6B-21</t>
  </si>
  <si>
    <t>ESP6B-22</t>
  </si>
  <si>
    <t>ESP6B-23</t>
  </si>
  <si>
    <t>ESP6B-24</t>
  </si>
  <si>
    <t>ESP6B-25</t>
  </si>
  <si>
    <t>ESP6B-26</t>
  </si>
  <si>
    <t>ESP6B-27</t>
  </si>
  <si>
    <t>ESP6B-28</t>
  </si>
  <si>
    <t>ESP6B-29</t>
  </si>
  <si>
    <t>ESP6B-30</t>
  </si>
  <si>
    <t>ESP6B-31</t>
  </si>
  <si>
    <t>ESP6B-32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</si>
</sst>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0.0%"/>
    <numFmt numFmtId="178" formatCode="&quot;第&quot;0&quot;次&quot;"/>
    <numFmt numFmtId="179" formatCode="0&quot;人&quot;"/>
  </numFmts>
  <fonts count="4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b/>
      <sz val="14"/>
      <color rgb="FF1F4E78"/>
      <name val="Microsoft JhengHei"/>
      <family val="2"/>
      <charset val="136"/>
    </font>
    <font>
      <i/>
      <sz val="10"/>
      <color rgb="FF595959"/>
      <name val="Microsoft JhengHei"/>
      <family val="2"/>
      <charset val="136"/>
    </font>
    <font>
      <b/>
      <sz val="9"/>
      <color rgb="FF595959"/>
      <name val="Microsoft JhengHei"/>
      <family val="2"/>
      <charset val="136"/>
    </font>
    <font>
      <b/>
      <sz val="15"/>
      <color rgb="FF1F4E78"/>
      <name val="Microsoft JhengHei"/>
      <family val="2"/>
      <charset val="136"/>
    </font>
    <font>
      <b/>
      <sz val="10"/>
      <color rgb="FFFFFFFF"/>
      <name val="Microsoft JhengHei"/>
      <family val="2"/>
      <charset val="136"/>
    </font>
    <font>
      <sz val="10"/>
      <name val="Microsoft JhengHei"/>
      <family val="2"/>
      <charset val="136"/>
    </font>
    <font>
      <b/>
      <sz val="10"/>
      <name val="Microsoft JhengHei"/>
      <family val="2"/>
      <charset val="136"/>
    </font>
    <font>
      <b/>
      <sz val="11"/>
      <color rgb="FFFFFFFF"/>
      <name val="Microsoft JhengHei"/>
      <family val="2"/>
      <charset val="136"/>
    </font>
    <font>
      <sz val="9"/>
      <name val="新細明體"/>
      <family val="3"/>
      <charset val="136"/>
      <scheme val="minor"/>
    </font>
    <font>
      <b/>
      <sz val="16"/>
      <color rgb="FF000000"/>
      <name val="標楷體"/>
      <family val="4"/>
      <charset val="136"/>
    </font>
    <font>
      <b/>
      <sz val="12"/>
      <color rgb="FF00000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rgb="FF000000"/>
      <name val="標楷體"/>
      <family val="4"/>
      <charset val="136"/>
    </font>
    <font>
      <sz val="10"/>
      <color rgb="FF000000"/>
      <name val="Cambria"/>
      <family val="1"/>
    </font>
    <font>
      <sz val="12"/>
      <color theme="1"/>
      <name val="標楷體"/>
      <family val="4"/>
      <charset val="136"/>
    </font>
    <font>
      <sz val="10"/>
      <color rgb="FF000000"/>
      <name val="標楷體"/>
      <family val="4"/>
      <charset val="136"/>
    </font>
    <font>
      <sz val="10"/>
      <color rgb="FFFF0000"/>
      <name val="標楷體"/>
      <family val="4"/>
      <charset val="136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wese"/>
      <family val="1"/>
    </font>
    <font>
      <b/>
      <sz val="12"/>
      <color rgb="FF000000"/>
      <name val="Timwese"/>
      <family val="1"/>
    </font>
    <font>
      <b/>
      <sz val="12"/>
      <color rgb="FF000000"/>
      <name val="標楷體"/>
      <family val="1"/>
      <charset val="136"/>
    </font>
    <font>
      <sz val="12"/>
      <color rgb="FF000000"/>
      <name val="Wingdings"/>
      <charset val="2"/>
    </font>
    <font>
      <vertAlign val="superscript"/>
      <sz val="12"/>
      <color rgb="FF000000"/>
      <name val="標楷體"/>
      <family val="4"/>
      <charset val="136"/>
    </font>
    <font>
      <sz val="12"/>
      <color theme="1"/>
      <name val="Times New Roman"/>
      <family val="1"/>
    </font>
    <font>
      <sz val="12"/>
      <color theme="1"/>
      <name val="Wingdings"/>
      <charset val="2"/>
    </font>
    <font>
      <sz val="12"/>
      <color theme="1"/>
      <name val="PMingLiU"/>
      <family val="1"/>
      <charset val="136"/>
    </font>
    <font>
      <b/>
      <sz val="16"/>
      <color theme="1"/>
      <name val="標楷體"/>
      <family val="4"/>
      <charset val="136"/>
    </font>
    <font>
      <b/>
      <sz val="12"/>
      <color theme="1"/>
      <name val="標楷體"/>
      <family val="4"/>
      <charset val="136"/>
    </font>
    <font>
      <sz val="12"/>
      <color theme="1"/>
      <name val="BiauKai"/>
      <family val="4"/>
      <charset val="136"/>
    </font>
    <font>
      <u/>
      <sz val="12"/>
      <color theme="1"/>
      <name val="Times New Roman"/>
      <family val="1"/>
    </font>
    <font>
      <b/>
      <sz val="12"/>
      <color theme="1"/>
      <name val="BiauKai"/>
      <family val="4"/>
      <charset val="136"/>
    </font>
    <font>
      <sz val="12"/>
      <color theme="1"/>
      <name val="Cambria"/>
      <family val="1"/>
    </font>
    <font>
      <sz val="12"/>
      <color theme="1"/>
      <name val="標楷體"/>
      <family val="1"/>
      <charset val="136"/>
    </font>
    <font>
      <sz val="12"/>
      <name val="標楷體"/>
      <family val="4"/>
      <charset val="136"/>
    </font>
    <font>
      <sz val="12"/>
      <name val="BiauKai"/>
      <family val="4"/>
      <charset val="136"/>
    </font>
    <font>
      <sz val="12"/>
      <name val="Cambria"/>
      <family val="1"/>
    </font>
    <font>
      <u/>
      <sz val="12"/>
      <name val="標楷體"/>
      <family val="4"/>
      <charset val="136"/>
    </font>
    <font>
      <sz val="7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2F4F7"/>
        <bgColor rgb="FFF2F4F7"/>
      </patternFill>
    </fill>
    <fill>
      <patternFill patternType="solid">
        <fgColor rgb="FF2F5496"/>
        <bgColor rgb="FF2F5496"/>
      </patternFill>
    </fill>
    <fill>
      <patternFill patternType="solid">
        <fgColor rgb="FFDCE6F1"/>
        <bgColor rgb="FFDCE6F1"/>
      </patternFill>
    </fill>
    <fill>
      <patternFill patternType="solid">
        <fgColor rgb="FFF2F2F2"/>
        <bgColor rgb="FFF2F2F2"/>
      </patternFill>
    </fill>
    <fill>
      <patternFill patternType="solid">
        <fgColor rgb="FFF9FBFD"/>
        <bgColor rgb="FFF9FBFD"/>
      </patternFill>
    </fill>
    <fill>
      <patternFill patternType="solid">
        <fgColor rgb="FF1F4E78"/>
        <bgColor rgb="FF1F4E78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medium">
        <color rgb="FF2F5496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2F5496"/>
      </left>
      <right/>
      <top/>
      <bottom/>
      <diagonal/>
    </border>
    <border>
      <left/>
      <right style="medium">
        <color rgb="FF2F5496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 style="thin">
        <color rgb="FFD9D9D9"/>
      </right>
      <top/>
      <bottom/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3">
    <xf numFmtId="0" fontId="0" fillId="0" borderId="0"/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05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176" fontId="7" fillId="5" borderId="3" xfId="0" applyNumberFormat="1" applyFont="1" applyFill="1" applyBorder="1" applyAlignment="1">
      <alignment horizontal="right" vertical="center"/>
    </xf>
    <xf numFmtId="176" fontId="8" fillId="4" borderId="3" xfId="0" applyNumberFormat="1" applyFont="1" applyFill="1" applyBorder="1" applyAlignment="1">
      <alignment horizontal="right" vertical="center"/>
    </xf>
    <xf numFmtId="177" fontId="8" fillId="5" borderId="3" xfId="0" applyNumberFormat="1" applyFont="1" applyFill="1" applyBorder="1" applyAlignment="1">
      <alignment horizontal="right" vertical="center"/>
    </xf>
    <xf numFmtId="0" fontId="8" fillId="5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3" fontId="8" fillId="0" borderId="3" xfId="0" applyNumberFormat="1" applyFont="1" applyBorder="1" applyAlignment="1">
      <alignment horizontal="right" vertical="center"/>
    </xf>
    <xf numFmtId="177" fontId="8" fillId="0" borderId="3" xfId="0" applyNumberFormat="1" applyFont="1" applyBorder="1" applyAlignment="1">
      <alignment horizontal="right" vertical="center"/>
    </xf>
    <xf numFmtId="0" fontId="7" fillId="0" borderId="3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right" vertical="center"/>
    </xf>
    <xf numFmtId="0" fontId="8" fillId="0" borderId="3" xfId="0" applyFont="1" applyBorder="1" applyAlignment="1">
      <alignment horizontal="right" vertical="center"/>
    </xf>
    <xf numFmtId="176" fontId="7" fillId="0" borderId="3" xfId="0" applyNumberFormat="1" applyFont="1" applyBorder="1" applyAlignment="1">
      <alignment horizontal="right" vertical="center"/>
    </xf>
    <xf numFmtId="177" fontId="7" fillId="0" borderId="3" xfId="0" applyNumberFormat="1" applyFont="1" applyBorder="1" applyAlignment="1">
      <alignment horizontal="right" vertical="center"/>
    </xf>
    <xf numFmtId="0" fontId="6" fillId="3" borderId="0" xfId="0" applyFont="1" applyFill="1" applyAlignment="1">
      <alignment horizontal="center" vertical="center" wrapText="1"/>
    </xf>
    <xf numFmtId="0" fontId="8" fillId="0" borderId="0" xfId="0" applyFont="1"/>
    <xf numFmtId="0" fontId="7" fillId="0" borderId="0" xfId="0" applyFont="1"/>
    <xf numFmtId="0" fontId="1" fillId="0" borderId="0" xfId="1">
      <alignment vertical="center"/>
    </xf>
    <xf numFmtId="0" fontId="14" fillId="0" borderId="9" xfId="1" applyFont="1" applyBorder="1" applyAlignment="1">
      <alignment horizontal="left" vertical="center" wrapText="1"/>
    </xf>
    <xf numFmtId="0" fontId="14" fillId="0" borderId="9" xfId="1" applyFont="1" applyBorder="1" applyAlignment="1">
      <alignment horizontal="center" vertical="center" wrapText="1"/>
    </xf>
    <xf numFmtId="49" fontId="14" fillId="8" borderId="9" xfId="1" applyNumberFormat="1" applyFont="1" applyFill="1" applyBorder="1" applyAlignment="1">
      <alignment horizontal="center" vertical="center" wrapText="1"/>
    </xf>
    <xf numFmtId="178" fontId="16" fillId="8" borderId="9" xfId="1" applyNumberFormat="1" applyFont="1" applyFill="1" applyBorder="1" applyAlignment="1">
      <alignment horizontal="center" vertical="center"/>
    </xf>
    <xf numFmtId="0" fontId="16" fillId="0" borderId="9" xfId="1" applyFont="1" applyBorder="1" applyAlignment="1">
      <alignment horizontal="left" vertical="center"/>
    </xf>
    <xf numFmtId="0" fontId="14" fillId="0" borderId="9" xfId="1" applyFont="1" applyBorder="1" applyAlignment="1">
      <alignment horizontal="center" vertical="center"/>
    </xf>
    <xf numFmtId="14" fontId="14" fillId="8" borderId="9" xfId="1" applyNumberFormat="1" applyFont="1" applyFill="1" applyBorder="1" applyAlignment="1">
      <alignment horizontal="center" vertical="center"/>
    </xf>
    <xf numFmtId="179" fontId="14" fillId="8" borderId="9" xfId="1" applyNumberFormat="1" applyFont="1" applyFill="1" applyBorder="1" applyAlignment="1">
      <alignment horizontal="center" vertical="center" wrapText="1"/>
    </xf>
    <xf numFmtId="0" fontId="17" fillId="0" borderId="0" xfId="1" applyFont="1">
      <alignment vertical="center"/>
    </xf>
    <xf numFmtId="0" fontId="1" fillId="0" borderId="0" xfId="1" applyAlignment="1">
      <alignment horizontal="center" vertical="center"/>
    </xf>
    <xf numFmtId="0" fontId="26" fillId="0" borderId="9" xfId="1" applyFont="1" applyBorder="1" applyAlignment="1">
      <alignment horizontal="center" vertical="center"/>
    </xf>
    <xf numFmtId="0" fontId="26" fillId="8" borderId="9" xfId="1" applyFont="1" applyFill="1" applyBorder="1" applyAlignment="1">
      <alignment horizontal="center" vertical="center"/>
    </xf>
    <xf numFmtId="10" fontId="26" fillId="0" borderId="9" xfId="2" applyNumberFormat="1" applyFont="1" applyBorder="1" applyAlignment="1">
      <alignment horizontal="center" vertical="center"/>
    </xf>
    <xf numFmtId="0" fontId="27" fillId="0" borderId="9" xfId="1" applyFont="1" applyBorder="1" applyAlignment="1">
      <alignment horizontal="center" vertical="center"/>
    </xf>
    <xf numFmtId="10" fontId="26" fillId="0" borderId="9" xfId="2" applyNumberFormat="1" applyFont="1" applyBorder="1" applyAlignment="1" applyProtection="1">
      <alignment horizontal="center" vertical="center"/>
    </xf>
    <xf numFmtId="0" fontId="18" fillId="0" borderId="0" xfId="1" applyFont="1">
      <alignment vertical="center"/>
    </xf>
    <xf numFmtId="0" fontId="28" fillId="8" borderId="9" xfId="1" applyFont="1" applyFill="1" applyBorder="1" applyAlignment="1">
      <alignment horizontal="center" vertical="center"/>
    </xf>
    <xf numFmtId="0" fontId="26" fillId="8" borderId="9" xfId="1" applyFont="1" applyFill="1" applyBorder="1">
      <alignment vertical="center"/>
    </xf>
    <xf numFmtId="0" fontId="16" fillId="0" borderId="0" xfId="1" applyFont="1">
      <alignment vertical="center"/>
    </xf>
    <xf numFmtId="0" fontId="16" fillId="0" borderId="0" xfId="1" applyFont="1" applyAlignment="1">
      <alignment horizontal="center" vertical="center"/>
    </xf>
    <xf numFmtId="0" fontId="16" fillId="0" borderId="11" xfId="1" applyFont="1" applyBorder="1" applyAlignment="1">
      <alignment horizontal="center" vertical="center" wrapText="1"/>
    </xf>
    <xf numFmtId="0" fontId="16" fillId="0" borderId="9" xfId="1" applyFont="1" applyBorder="1" applyAlignment="1">
      <alignment horizontal="center" vertical="center" wrapText="1"/>
    </xf>
    <xf numFmtId="0" fontId="16" fillId="0" borderId="9" xfId="1" applyFont="1" applyBorder="1" applyAlignment="1">
      <alignment horizontal="center" vertical="center"/>
    </xf>
    <xf numFmtId="0" fontId="14" fillId="8" borderId="9" xfId="1" applyFont="1" applyFill="1" applyBorder="1" applyAlignment="1">
      <alignment horizontal="center" vertical="center"/>
    </xf>
    <xf numFmtId="179" fontId="16" fillId="0" borderId="13" xfId="1" applyNumberFormat="1" applyFont="1" applyBorder="1" applyAlignment="1">
      <alignment horizontal="center" vertical="center" wrapText="1"/>
    </xf>
    <xf numFmtId="0" fontId="16" fillId="0" borderId="13" xfId="1" applyFont="1" applyBorder="1" applyAlignment="1">
      <alignment horizontal="center" vertical="center" wrapText="1"/>
    </xf>
    <xf numFmtId="179" fontId="16" fillId="0" borderId="18" xfId="1" applyNumberFormat="1" applyFont="1" applyBorder="1" applyAlignment="1">
      <alignment horizontal="center" vertical="center" wrapText="1"/>
    </xf>
    <xf numFmtId="0" fontId="16" fillId="0" borderId="19" xfId="1" applyFont="1" applyBorder="1" applyAlignment="1">
      <alignment horizontal="center" vertical="center" wrapText="1"/>
    </xf>
    <xf numFmtId="0" fontId="16" fillId="8" borderId="19" xfId="1" applyFont="1" applyFill="1" applyBorder="1" applyAlignment="1">
      <alignment horizontal="center" vertical="center" wrapText="1"/>
    </xf>
    <xf numFmtId="0" fontId="16" fillId="8" borderId="9" xfId="1" applyFont="1" applyFill="1" applyBorder="1" applyAlignment="1">
      <alignment horizontal="center" vertical="center" wrapText="1"/>
    </xf>
    <xf numFmtId="0" fontId="16" fillId="8" borderId="25" xfId="1" applyFont="1" applyFill="1" applyBorder="1" applyAlignment="1">
      <alignment horizontal="center" vertical="center" wrapText="1"/>
    </xf>
    <xf numFmtId="0" fontId="6" fillId="3" borderId="2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9" fillId="7" borderId="0" xfId="0" applyFont="1" applyFill="1" applyAlignment="1">
      <alignment horizontal="left" vertical="center" wrapText="1"/>
    </xf>
    <xf numFmtId="0" fontId="0" fillId="0" borderId="0" xfId="0"/>
    <xf numFmtId="0" fontId="11" fillId="0" borderId="6" xfId="1" applyFont="1" applyBorder="1" applyAlignment="1">
      <alignment horizontal="center" vertical="center" wrapText="1"/>
    </xf>
    <xf numFmtId="0" fontId="11" fillId="0" borderId="7" xfId="1" applyFont="1" applyBorder="1" applyAlignment="1">
      <alignment horizontal="center" vertical="center"/>
    </xf>
    <xf numFmtId="0" fontId="11" fillId="0" borderId="8" xfId="1" applyFont="1" applyBorder="1" applyAlignment="1">
      <alignment horizontal="center" vertical="center"/>
    </xf>
    <xf numFmtId="0" fontId="15" fillId="8" borderId="10" xfId="1" applyFont="1" applyFill="1" applyBorder="1" applyAlignment="1">
      <alignment horizontal="center" vertical="center" wrapText="1"/>
    </xf>
    <xf numFmtId="0" fontId="14" fillId="8" borderId="11" xfId="1" applyFont="1" applyFill="1" applyBorder="1" applyAlignment="1">
      <alignment horizontal="center" vertical="center" wrapText="1"/>
    </xf>
    <xf numFmtId="0" fontId="16" fillId="8" borderId="9" xfId="1" applyFont="1" applyFill="1" applyBorder="1" applyAlignment="1">
      <alignment horizontal="center" vertical="center"/>
    </xf>
    <xf numFmtId="0" fontId="14" fillId="0" borderId="9" xfId="1" applyFont="1" applyBorder="1" applyAlignment="1">
      <alignment horizontal="left" vertical="center" wrapText="1"/>
    </xf>
    <xf numFmtId="0" fontId="31" fillId="8" borderId="10" xfId="1" applyFont="1" applyFill="1" applyBorder="1" applyAlignment="1">
      <alignment horizontal="center" vertical="center" wrapText="1"/>
    </xf>
    <xf numFmtId="0" fontId="31" fillId="8" borderId="26" xfId="1" applyFont="1" applyFill="1" applyBorder="1" applyAlignment="1">
      <alignment horizontal="center" vertical="center" wrapText="1"/>
    </xf>
    <xf numFmtId="0" fontId="31" fillId="8" borderId="11" xfId="1" applyFont="1" applyFill="1" applyBorder="1" applyAlignment="1">
      <alignment horizontal="center" vertical="center" wrapText="1"/>
    </xf>
    <xf numFmtId="0" fontId="31" fillId="8" borderId="10" xfId="1" applyFont="1" applyFill="1" applyBorder="1" applyAlignment="1">
      <alignment horizontal="center" vertical="center"/>
    </xf>
    <xf numFmtId="0" fontId="31" fillId="8" borderId="26" xfId="1" applyFont="1" applyFill="1" applyBorder="1" applyAlignment="1">
      <alignment horizontal="center" vertical="center"/>
    </xf>
    <xf numFmtId="0" fontId="31" fillId="8" borderId="11" xfId="1" applyFont="1" applyFill="1" applyBorder="1" applyAlignment="1">
      <alignment horizontal="center" vertical="center"/>
    </xf>
    <xf numFmtId="0" fontId="30" fillId="0" borderId="0" xfId="1" applyFont="1" applyAlignment="1">
      <alignment horizontal="left" vertical="center" wrapText="1"/>
    </xf>
    <xf numFmtId="0" fontId="16" fillId="8" borderId="10" xfId="1" applyFont="1" applyFill="1" applyBorder="1" applyAlignment="1">
      <alignment horizontal="center" vertical="center" wrapText="1"/>
    </xf>
    <xf numFmtId="0" fontId="16" fillId="8" borderId="26" xfId="1" applyFont="1" applyFill="1" applyBorder="1" applyAlignment="1">
      <alignment horizontal="center" vertical="center" wrapText="1"/>
    </xf>
    <xf numFmtId="0" fontId="16" fillId="8" borderId="11" xfId="1" applyFont="1" applyFill="1" applyBorder="1" applyAlignment="1">
      <alignment horizontal="center" vertical="center" wrapText="1"/>
    </xf>
    <xf numFmtId="0" fontId="16" fillId="0" borderId="9" xfId="1" applyFont="1" applyBorder="1" applyAlignment="1">
      <alignment vertical="center" wrapText="1"/>
    </xf>
    <xf numFmtId="0" fontId="16" fillId="0" borderId="14" xfId="1" applyFont="1" applyBorder="1" applyAlignment="1">
      <alignment horizontal="center" vertical="center" wrapText="1"/>
    </xf>
    <xf numFmtId="0" fontId="16" fillId="0" borderId="15" xfId="1" applyFont="1" applyBorder="1" applyAlignment="1">
      <alignment horizontal="center" vertical="center" wrapText="1"/>
    </xf>
    <xf numFmtId="0" fontId="16" fillId="0" borderId="20" xfId="1" applyFont="1" applyBorder="1" applyAlignment="1">
      <alignment horizontal="center" vertical="center" wrapText="1"/>
    </xf>
    <xf numFmtId="0" fontId="16" fillId="0" borderId="21" xfId="1" applyFont="1" applyBorder="1" applyAlignment="1">
      <alignment horizontal="center" vertical="center" wrapText="1"/>
    </xf>
    <xf numFmtId="0" fontId="16" fillId="8" borderId="22" xfId="1" applyFont="1" applyFill="1" applyBorder="1" applyAlignment="1">
      <alignment vertical="center" wrapText="1"/>
    </xf>
    <xf numFmtId="0" fontId="16" fillId="8" borderId="23" xfId="1" applyFont="1" applyFill="1" applyBorder="1" applyAlignment="1">
      <alignment vertical="center" wrapText="1"/>
    </xf>
    <xf numFmtId="0" fontId="16" fillId="8" borderId="24" xfId="1" applyFont="1" applyFill="1" applyBorder="1" applyAlignment="1">
      <alignment vertical="center" wrapText="1"/>
    </xf>
    <xf numFmtId="0" fontId="16" fillId="0" borderId="19" xfId="1" applyFont="1" applyBorder="1" applyAlignment="1">
      <alignment vertical="center" wrapText="1"/>
    </xf>
    <xf numFmtId="0" fontId="36" fillId="9" borderId="25" xfId="1" applyFont="1" applyFill="1" applyBorder="1" applyAlignment="1">
      <alignment vertical="center" wrapText="1"/>
    </xf>
    <xf numFmtId="0" fontId="16" fillId="0" borderId="7" xfId="1" applyFont="1" applyBorder="1" applyAlignment="1">
      <alignment vertical="center" wrapText="1"/>
    </xf>
    <xf numFmtId="0" fontId="29" fillId="0" borderId="12" xfId="1" applyFont="1" applyBorder="1" applyAlignment="1">
      <alignment horizontal="center" vertical="center" wrapText="1"/>
    </xf>
    <xf numFmtId="0" fontId="29" fillId="0" borderId="12" xfId="1" applyFont="1" applyBorder="1" applyAlignment="1">
      <alignment horizontal="center" vertical="center"/>
    </xf>
    <xf numFmtId="0" fontId="16" fillId="0" borderId="10" xfId="1" applyFont="1" applyBorder="1" applyAlignment="1">
      <alignment horizontal="center" vertical="center" wrapText="1"/>
    </xf>
    <xf numFmtId="0" fontId="16" fillId="0" borderId="11" xfId="1" applyFont="1" applyBorder="1" applyAlignment="1">
      <alignment horizontal="center" vertical="center" wrapText="1"/>
    </xf>
    <xf numFmtId="0" fontId="16" fillId="0" borderId="16" xfId="1" applyFont="1" applyBorder="1" applyAlignment="1">
      <alignment horizontal="center" vertical="center" wrapText="1"/>
    </xf>
    <xf numFmtId="0" fontId="16" fillId="0" borderId="17" xfId="1" applyFont="1" applyBorder="1" applyAlignment="1">
      <alignment horizontal="center" vertical="center" wrapText="1"/>
    </xf>
  </cellXfs>
  <cellStyles count="3">
    <cellStyle name="一般" xfId="0" builtinId="0"/>
    <cellStyle name="一般 2" xfId="1" xr:uid="{4CB0BF54-F5AD-F94A-BDF9-5710753C176A}"/>
    <cellStyle name="百分比 2" xfId="2" xr:uid="{AB4F5F54-EFF1-FB43-A3E9-75D620123E97}"/>
  </cellStyles>
  <dxfs count="6">
    <dxf>
      <fill>
        <patternFill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ont>
        <b/>
        <color rgb="FFC65911"/>
      </font>
      <fill>
        <patternFill patternType="solid">
          <fgColor rgb="FFFCE4D6"/>
          <bgColor rgb="FFFCE4D6"/>
        </patternFill>
      </fill>
    </dxf>
    <dxf>
      <font>
        <b/>
        <color rgb="FF375623"/>
      </font>
      <fill>
        <patternFill patternType="solid">
          <fgColor rgb="FFE2EFDA"/>
          <bgColor rgb="FFE2EFDA"/>
        </patternFill>
      </fill>
    </dxf>
    <dxf>
      <font>
        <b/>
        <color rgb="FFC65911"/>
      </font>
      <fill>
        <patternFill patternType="solid">
          <fgColor rgb="FFFCE4D6"/>
          <bgColor rgb="FFFCE4D6"/>
        </patternFill>
      </fill>
    </dxf>
    <dxf>
      <font>
        <b/>
        <color rgb="FF375623"/>
      </font>
      <fill>
        <patternFill patternType="solid">
          <fgColor rgb="FFE2EFDA"/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7"/>
  <sheetViews>
    <sheetView zoomScale="158" workbookViewId="0">
      <pane ySplit="7" topLeftCell="A8" activePane="bottomLeft" state="frozen"/>
      <selection pane="bottomLeft" activeCell="I8" sqref="I8"/>
    </sheetView>
  </sheetViews>
  <sheetFormatPr baseColWidth="10" defaultColWidth="9" defaultRowHeight="14"/>
  <cols>
    <col min="1" max="1" width="8" customWidth="1"/>
    <col min="2" max="3" width="12" customWidth="1"/>
    <col min="4" max="8" width="14" customWidth="1"/>
    <col min="9" max="9" width="17.59765625" customWidth="1"/>
    <col min="10" max="10" width="22" customWidth="1"/>
    <col min="11" max="11" width="28.19921875" customWidth="1"/>
  </cols>
  <sheetData>
    <row r="1" spans="1:11" ht="24" customHeight="1">
      <c r="A1" s="1" t="s">
        <v>1362</v>
      </c>
      <c r="J1" s="60" t="s">
        <v>1432</v>
      </c>
      <c r="K1" s="17" t="s">
        <v>10</v>
      </c>
    </row>
    <row r="2" spans="1:11" ht="24" customHeight="1">
      <c r="A2" s="2"/>
      <c r="J2" s="61"/>
      <c r="K2" s="17" t="s">
        <v>40</v>
      </c>
    </row>
    <row r="3" spans="1:11" ht="24" customHeight="1">
      <c r="J3" s="61"/>
      <c r="K3" s="17" t="s">
        <v>1427</v>
      </c>
    </row>
    <row r="4" spans="1:11" ht="24" customHeight="1">
      <c r="A4" s="63" t="s">
        <v>1358</v>
      </c>
      <c r="B4" s="67"/>
      <c r="C4" s="63" t="s">
        <v>1359</v>
      </c>
      <c r="D4" s="67"/>
      <c r="E4" s="63" t="s">
        <v>0</v>
      </c>
      <c r="F4" s="67"/>
      <c r="G4" s="63" t="s">
        <v>1</v>
      </c>
      <c r="H4" s="64"/>
      <c r="J4" s="61"/>
      <c r="K4" s="17" t="s">
        <v>1428</v>
      </c>
    </row>
    <row r="5" spans="1:11" ht="24" customHeight="1">
      <c r="A5" s="65" t="str">
        <f>"220 人"</f>
        <v>220 人</v>
      </c>
      <c r="B5" s="68"/>
      <c r="C5" s="65" t="str">
        <f>COUNTIF(F8:F227, "&gt;0") &amp; " 人"</f>
        <v>0 人</v>
      </c>
      <c r="D5" s="68"/>
      <c r="E5" s="65" t="str">
        <f>COUNTIF(H8:H227, "達標") &amp; " 人"</f>
        <v>0 人</v>
      </c>
      <c r="F5" s="68"/>
      <c r="G5" s="65" t="str">
        <f>COUNTIF(H8:H227, "超重") &amp; " 人"</f>
        <v>0 人</v>
      </c>
      <c r="H5" s="66"/>
      <c r="J5" s="61"/>
      <c r="K5" s="17" t="s">
        <v>1429</v>
      </c>
    </row>
    <row r="6" spans="1:11" ht="24" customHeight="1">
      <c r="J6" s="62"/>
      <c r="K6" s="17" t="s">
        <v>41</v>
      </c>
    </row>
    <row r="7" spans="1:11" ht="34" customHeight="1" thickBot="1">
      <c r="A7" s="5" t="s">
        <v>2</v>
      </c>
      <c r="B7" s="5" t="s">
        <v>1431</v>
      </c>
      <c r="C7" s="5" t="s">
        <v>3</v>
      </c>
      <c r="D7" s="5" t="s">
        <v>1360</v>
      </c>
      <c r="E7" s="5" t="s">
        <v>1361</v>
      </c>
      <c r="F7" s="5" t="s">
        <v>4</v>
      </c>
      <c r="G7" s="5" t="s">
        <v>5</v>
      </c>
      <c r="H7" s="5" t="s">
        <v>6</v>
      </c>
      <c r="I7" s="5" t="s">
        <v>7</v>
      </c>
      <c r="J7" s="5" t="s">
        <v>8</v>
      </c>
    </row>
    <row r="8" spans="1:11" ht="22" customHeight="1">
      <c r="A8" s="6">
        <v>1</v>
      </c>
      <c r="B8" s="7" t="s">
        <v>9</v>
      </c>
      <c r="C8" s="8"/>
      <c r="D8" s="9" t="str">
        <f>IFERROR(VLOOKUP(B8&amp;"-"&amp;C8, '💾 學生體重資料庫'!$A:$I, 4, FALSE), "")</f>
        <v/>
      </c>
      <c r="E8" s="10" t="str">
        <f>IFERROR(VLOOKUP(B8&amp;"-"&amp;C8, '💾 學生體重資料庫'!$A:$I, 8, FALSE), "")</f>
        <v/>
      </c>
      <c r="F8" s="11"/>
      <c r="G8" s="12" t="str">
        <f t="shared" ref="G8:G71" si="0">IF(OR(NOT(ISNUMBER(E8)), NOT(ISNUMBER(F8)), E8=0), "", F8/E8)</f>
        <v/>
      </c>
      <c r="H8" s="13" t="str">
        <f>IF(G8="", "", IF(G8&lt;=0.15, "達標", "超重"))</f>
        <v/>
      </c>
      <c r="I8" s="14"/>
      <c r="J8" s="14"/>
    </row>
    <row r="9" spans="1:11" ht="22" customHeight="1">
      <c r="A9" s="15">
        <v>2</v>
      </c>
      <c r="B9" s="16" t="s">
        <v>9</v>
      </c>
      <c r="C9" s="8"/>
      <c r="D9" s="9" t="str">
        <f>IFERROR(VLOOKUP(B9&amp;"-"&amp;C9, '💾 學生體重資料庫'!$A:$I, 4, FALSE), "")</f>
        <v/>
      </c>
      <c r="E9" s="10" t="str">
        <f>IFERROR(VLOOKUP(B9&amp;"-"&amp;C9, '💾 學生體重資料庫'!$A:$I, 8, FALSE), "")</f>
        <v/>
      </c>
      <c r="F9" s="11"/>
      <c r="G9" s="12" t="str">
        <f t="shared" si="0"/>
        <v/>
      </c>
      <c r="H9" s="13" t="str">
        <f t="shared" ref="H9:H71" si="1">IF(G9="", "", IF(G9&lt;=0.15, "達標", "超重"))</f>
        <v/>
      </c>
      <c r="I9" s="14"/>
      <c r="J9" s="14"/>
    </row>
    <row r="10" spans="1:11" ht="22" customHeight="1">
      <c r="A10" s="6">
        <v>3</v>
      </c>
      <c r="B10" s="7" t="s">
        <v>9</v>
      </c>
      <c r="C10" s="8"/>
      <c r="D10" s="9" t="str">
        <f>IFERROR(VLOOKUP(B10&amp;"-"&amp;C10, '💾 學生體重資料庫'!$A:$I, 4, FALSE), "")</f>
        <v/>
      </c>
      <c r="E10" s="10" t="str">
        <f>IFERROR(VLOOKUP(B10&amp;"-"&amp;C10, '💾 學生體重資料庫'!$A:$I, 8, FALSE), "")</f>
        <v/>
      </c>
      <c r="F10" s="11"/>
      <c r="G10" s="12" t="str">
        <f t="shared" si="0"/>
        <v/>
      </c>
      <c r="H10" s="13" t="str">
        <f t="shared" si="1"/>
        <v/>
      </c>
      <c r="I10" s="14"/>
      <c r="J10" s="14"/>
    </row>
    <row r="11" spans="1:11" ht="22" customHeight="1">
      <c r="A11" s="15">
        <v>4</v>
      </c>
      <c r="B11" s="16" t="s">
        <v>9</v>
      </c>
      <c r="C11" s="8"/>
      <c r="D11" s="9" t="str">
        <f>IFERROR(VLOOKUP(B11&amp;"-"&amp;C11, '💾 學生體重資料庫'!$A:$I, 4, FALSE), "")</f>
        <v/>
      </c>
      <c r="E11" s="10" t="str">
        <f>IFERROR(VLOOKUP(B11&amp;"-"&amp;C11, '💾 學生體重資料庫'!$A:$I, 8, FALSE), "")</f>
        <v/>
      </c>
      <c r="F11" s="11"/>
      <c r="G11" s="12" t="str">
        <f t="shared" si="0"/>
        <v/>
      </c>
      <c r="H11" s="13" t="str">
        <f t="shared" si="1"/>
        <v/>
      </c>
      <c r="I11" s="14"/>
      <c r="J11" s="14"/>
    </row>
    <row r="12" spans="1:11" ht="22" customHeight="1">
      <c r="A12" s="6">
        <v>5</v>
      </c>
      <c r="B12" s="7" t="s">
        <v>9</v>
      </c>
      <c r="C12" s="8"/>
      <c r="D12" s="9" t="str">
        <f>IFERROR(VLOOKUP(B12&amp;"-"&amp;C12, '💾 學生體重資料庫'!$A:$I, 4, FALSE), "")</f>
        <v/>
      </c>
      <c r="E12" s="10" t="str">
        <f>IFERROR(VLOOKUP(B12&amp;"-"&amp;C12, '💾 學生體重資料庫'!$A:$I, 8, FALSE), "")</f>
        <v/>
      </c>
      <c r="F12" s="11"/>
      <c r="G12" s="12" t="str">
        <f t="shared" si="0"/>
        <v/>
      </c>
      <c r="H12" s="13" t="str">
        <f t="shared" si="1"/>
        <v/>
      </c>
      <c r="I12" s="14"/>
      <c r="J12" s="14"/>
    </row>
    <row r="13" spans="1:11" ht="22" customHeight="1">
      <c r="A13" s="15">
        <v>6</v>
      </c>
      <c r="B13" s="16" t="s">
        <v>9</v>
      </c>
      <c r="C13" s="8"/>
      <c r="D13" s="9" t="str">
        <f>IFERROR(VLOOKUP(B13&amp;"-"&amp;C13, '💾 學生體重資料庫'!$A:$I, 4, FALSE), "")</f>
        <v/>
      </c>
      <c r="E13" s="10" t="str">
        <f>IFERROR(VLOOKUP(B13&amp;"-"&amp;C13, '💾 學生體重資料庫'!$A:$I, 8, FALSE), "")</f>
        <v/>
      </c>
      <c r="F13" s="11"/>
      <c r="G13" s="12" t="str">
        <f t="shared" si="0"/>
        <v/>
      </c>
      <c r="H13" s="13" t="str">
        <f t="shared" si="1"/>
        <v/>
      </c>
      <c r="I13" s="14"/>
      <c r="J13" s="14"/>
    </row>
    <row r="14" spans="1:11" ht="22" customHeight="1">
      <c r="A14" s="6">
        <v>7</v>
      </c>
      <c r="B14" s="7" t="s">
        <v>9</v>
      </c>
      <c r="C14" s="8"/>
      <c r="D14" s="9" t="str">
        <f>IFERROR(VLOOKUP(B14&amp;"-"&amp;C14, '💾 學生體重資料庫'!$A:$I, 4, FALSE), "")</f>
        <v/>
      </c>
      <c r="E14" s="10" t="str">
        <f>IFERROR(VLOOKUP(B14&amp;"-"&amp;C14, '💾 學生體重資料庫'!$A:$I, 8, FALSE), "")</f>
        <v/>
      </c>
      <c r="F14" s="11"/>
      <c r="G14" s="12" t="str">
        <f t="shared" si="0"/>
        <v/>
      </c>
      <c r="H14" s="13" t="str">
        <f t="shared" si="1"/>
        <v/>
      </c>
      <c r="I14" s="14"/>
      <c r="J14" s="14"/>
    </row>
    <row r="15" spans="1:11" ht="22" customHeight="1">
      <c r="A15" s="15">
        <v>8</v>
      </c>
      <c r="B15" s="16" t="s">
        <v>9</v>
      </c>
      <c r="C15" s="8"/>
      <c r="D15" s="9" t="str">
        <f>IFERROR(VLOOKUP(B15&amp;"-"&amp;C15, '💾 學生體重資料庫'!$A:$I, 4, FALSE), "")</f>
        <v/>
      </c>
      <c r="E15" s="10" t="str">
        <f>IFERROR(VLOOKUP(B15&amp;"-"&amp;C15, '💾 學生體重資料庫'!$A:$I, 8, FALSE), "")</f>
        <v/>
      </c>
      <c r="F15" s="11"/>
      <c r="G15" s="12" t="str">
        <f t="shared" si="0"/>
        <v/>
      </c>
      <c r="H15" s="13" t="str">
        <f t="shared" si="1"/>
        <v/>
      </c>
      <c r="I15" s="14"/>
      <c r="J15" s="14"/>
    </row>
    <row r="16" spans="1:11" ht="22" customHeight="1">
      <c r="A16" s="6">
        <v>9</v>
      </c>
      <c r="B16" s="7" t="s">
        <v>9</v>
      </c>
      <c r="C16" s="8"/>
      <c r="D16" s="9" t="str">
        <f>IFERROR(VLOOKUP(B16&amp;"-"&amp;C16, '💾 學生體重資料庫'!$A:$I, 4, FALSE), "")</f>
        <v/>
      </c>
      <c r="E16" s="10" t="str">
        <f>IFERROR(VLOOKUP(B16&amp;"-"&amp;C16, '💾 學生體重資料庫'!$A:$I, 8, FALSE), "")</f>
        <v/>
      </c>
      <c r="F16" s="11"/>
      <c r="G16" s="12" t="str">
        <f t="shared" si="0"/>
        <v/>
      </c>
      <c r="H16" s="13" t="str">
        <f t="shared" si="1"/>
        <v/>
      </c>
      <c r="I16" s="14"/>
      <c r="J16" s="14"/>
    </row>
    <row r="17" spans="1:10" ht="22" customHeight="1">
      <c r="A17" s="15">
        <v>10</v>
      </c>
      <c r="B17" s="16" t="s">
        <v>9</v>
      </c>
      <c r="C17" s="8"/>
      <c r="D17" s="9" t="str">
        <f>IFERROR(VLOOKUP(B17&amp;"-"&amp;C17, '💾 學生體重資料庫'!$A:$I, 4, FALSE), "")</f>
        <v/>
      </c>
      <c r="E17" s="10" t="str">
        <f>IFERROR(VLOOKUP(B17&amp;"-"&amp;C17, '💾 學生體重資料庫'!$A:$I, 8, FALSE), "")</f>
        <v/>
      </c>
      <c r="F17" s="11"/>
      <c r="G17" s="12" t="str">
        <f t="shared" si="0"/>
        <v/>
      </c>
      <c r="H17" s="13" t="str">
        <f t="shared" si="1"/>
        <v/>
      </c>
      <c r="I17" s="14"/>
      <c r="J17" s="14"/>
    </row>
    <row r="18" spans="1:10" ht="22" customHeight="1">
      <c r="A18" s="6">
        <v>11</v>
      </c>
      <c r="B18" s="7" t="s">
        <v>9</v>
      </c>
      <c r="C18" s="8"/>
      <c r="D18" s="9" t="str">
        <f>IFERROR(VLOOKUP(B18&amp;"-"&amp;C18, '💾 學生體重資料庫'!$A:$I, 4, FALSE), "")</f>
        <v/>
      </c>
      <c r="E18" s="10" t="str">
        <f>IFERROR(VLOOKUP(B18&amp;"-"&amp;C18, '💾 學生體重資料庫'!$A:$I, 8, FALSE), "")</f>
        <v/>
      </c>
      <c r="F18" s="11"/>
      <c r="G18" s="12" t="str">
        <f t="shared" si="0"/>
        <v/>
      </c>
      <c r="H18" s="13" t="str">
        <f t="shared" si="1"/>
        <v/>
      </c>
      <c r="I18" s="14"/>
      <c r="J18" s="14"/>
    </row>
    <row r="19" spans="1:10" ht="22" customHeight="1">
      <c r="A19" s="15">
        <v>12</v>
      </c>
      <c r="B19" s="16" t="s">
        <v>11</v>
      </c>
      <c r="C19" s="8"/>
      <c r="D19" s="9" t="str">
        <f>IFERROR(VLOOKUP(B19&amp;"-"&amp;C19, '💾 學生體重資料庫'!$A:$I, 4, FALSE), "")</f>
        <v/>
      </c>
      <c r="E19" s="10" t="str">
        <f>IFERROR(VLOOKUP(B19&amp;"-"&amp;C19, '💾 學生體重資料庫'!$A:$I, 8, FALSE), "")</f>
        <v/>
      </c>
      <c r="F19" s="11"/>
      <c r="G19" s="12" t="str">
        <f t="shared" si="0"/>
        <v/>
      </c>
      <c r="H19" s="13" t="str">
        <f t="shared" si="1"/>
        <v/>
      </c>
      <c r="I19" s="14"/>
      <c r="J19" s="14"/>
    </row>
    <row r="20" spans="1:10" ht="22" customHeight="1">
      <c r="A20" s="6">
        <v>13</v>
      </c>
      <c r="B20" s="7" t="s">
        <v>11</v>
      </c>
      <c r="C20" s="8"/>
      <c r="D20" s="9" t="str">
        <f>IFERROR(VLOOKUP(B20&amp;"-"&amp;C20, '💾 學生體重資料庫'!$A:$I, 4, FALSE), "")</f>
        <v/>
      </c>
      <c r="E20" s="10" t="str">
        <f>IFERROR(VLOOKUP(B20&amp;"-"&amp;C20, '💾 學生體重資料庫'!$A:$I, 8, FALSE), "")</f>
        <v/>
      </c>
      <c r="F20" s="11"/>
      <c r="G20" s="12" t="str">
        <f t="shared" si="0"/>
        <v/>
      </c>
      <c r="H20" s="13" t="str">
        <f t="shared" si="1"/>
        <v/>
      </c>
      <c r="I20" s="14"/>
      <c r="J20" s="14"/>
    </row>
    <row r="21" spans="1:10" ht="22" customHeight="1">
      <c r="A21" s="15">
        <v>14</v>
      </c>
      <c r="B21" s="16" t="s">
        <v>11</v>
      </c>
      <c r="C21" s="8"/>
      <c r="D21" s="9" t="str">
        <f>IFERROR(VLOOKUP(B21&amp;"-"&amp;C21, '💾 學生體重資料庫'!$A:$I, 4, FALSE), "")</f>
        <v/>
      </c>
      <c r="E21" s="10" t="str">
        <f>IFERROR(VLOOKUP(B21&amp;"-"&amp;C21, '💾 學生體重資料庫'!$A:$I, 8, FALSE), "")</f>
        <v/>
      </c>
      <c r="F21" s="11"/>
      <c r="G21" s="12" t="str">
        <f t="shared" si="0"/>
        <v/>
      </c>
      <c r="H21" s="13" t="str">
        <f t="shared" si="1"/>
        <v/>
      </c>
      <c r="I21" s="14"/>
      <c r="J21" s="14"/>
    </row>
    <row r="22" spans="1:10" ht="22" customHeight="1">
      <c r="A22" s="6">
        <v>15</v>
      </c>
      <c r="B22" s="7" t="s">
        <v>11</v>
      </c>
      <c r="C22" s="8"/>
      <c r="D22" s="9" t="str">
        <f>IFERROR(VLOOKUP(B22&amp;"-"&amp;C22, '💾 學生體重資料庫'!$A:$I, 4, FALSE), "")</f>
        <v/>
      </c>
      <c r="E22" s="10" t="str">
        <f>IFERROR(VLOOKUP(B22&amp;"-"&amp;C22, '💾 學生體重資料庫'!$A:$I, 8, FALSE), "")</f>
        <v/>
      </c>
      <c r="F22" s="11"/>
      <c r="G22" s="12" t="str">
        <f t="shared" si="0"/>
        <v/>
      </c>
      <c r="H22" s="13" t="str">
        <f t="shared" si="1"/>
        <v/>
      </c>
      <c r="I22" s="14"/>
      <c r="J22" s="14"/>
    </row>
    <row r="23" spans="1:10" ht="22" customHeight="1">
      <c r="A23" s="15">
        <v>16</v>
      </c>
      <c r="B23" s="16" t="s">
        <v>11</v>
      </c>
      <c r="C23" s="8"/>
      <c r="D23" s="9" t="str">
        <f>IFERROR(VLOOKUP(B23&amp;"-"&amp;C23, '💾 學生體重資料庫'!$A:$I, 4, FALSE), "")</f>
        <v/>
      </c>
      <c r="E23" s="10" t="str">
        <f>IFERROR(VLOOKUP(B23&amp;"-"&amp;C23, '💾 學生體重資料庫'!$A:$I, 8, FALSE), "")</f>
        <v/>
      </c>
      <c r="F23" s="11"/>
      <c r="G23" s="12" t="str">
        <f t="shared" si="0"/>
        <v/>
      </c>
      <c r="H23" s="13" t="str">
        <f t="shared" si="1"/>
        <v/>
      </c>
      <c r="I23" s="14"/>
      <c r="J23" s="14"/>
    </row>
    <row r="24" spans="1:10" ht="22" customHeight="1">
      <c r="A24" s="6">
        <v>17</v>
      </c>
      <c r="B24" s="7" t="s">
        <v>11</v>
      </c>
      <c r="C24" s="8"/>
      <c r="D24" s="9" t="str">
        <f>IFERROR(VLOOKUP(B24&amp;"-"&amp;C24, '💾 學生體重資料庫'!$A:$I, 4, FALSE), "")</f>
        <v/>
      </c>
      <c r="E24" s="10" t="str">
        <f>IFERROR(VLOOKUP(B24&amp;"-"&amp;C24, '💾 學生體重資料庫'!$A:$I, 8, FALSE), "")</f>
        <v/>
      </c>
      <c r="F24" s="11"/>
      <c r="G24" s="12" t="str">
        <f t="shared" si="0"/>
        <v/>
      </c>
      <c r="H24" s="13" t="str">
        <f t="shared" si="1"/>
        <v/>
      </c>
      <c r="I24" s="14"/>
      <c r="J24" s="14"/>
    </row>
    <row r="25" spans="1:10" ht="22" customHeight="1">
      <c r="A25" s="15">
        <v>18</v>
      </c>
      <c r="B25" s="16" t="s">
        <v>11</v>
      </c>
      <c r="C25" s="8"/>
      <c r="D25" s="9" t="str">
        <f>IFERROR(VLOOKUP(B25&amp;"-"&amp;C25, '💾 學生體重資料庫'!$A:$I, 4, FALSE), "")</f>
        <v/>
      </c>
      <c r="E25" s="10" t="str">
        <f>IFERROR(VLOOKUP(B25&amp;"-"&amp;C25, '💾 學生體重資料庫'!$A:$I, 8, FALSE), "")</f>
        <v/>
      </c>
      <c r="F25" s="11"/>
      <c r="G25" s="12" t="str">
        <f t="shared" si="0"/>
        <v/>
      </c>
      <c r="H25" s="13" t="str">
        <f t="shared" si="1"/>
        <v/>
      </c>
      <c r="I25" s="14"/>
      <c r="J25" s="14"/>
    </row>
    <row r="26" spans="1:10" ht="22" customHeight="1">
      <c r="A26" s="6">
        <v>19</v>
      </c>
      <c r="B26" s="7" t="s">
        <v>11</v>
      </c>
      <c r="C26" s="8"/>
      <c r="D26" s="9" t="str">
        <f>IFERROR(VLOOKUP(B26&amp;"-"&amp;C26, '💾 學生體重資料庫'!$A:$I, 4, FALSE), "")</f>
        <v/>
      </c>
      <c r="E26" s="10" t="str">
        <f>IFERROR(VLOOKUP(B26&amp;"-"&amp;C26, '💾 學生體重資料庫'!$A:$I, 8, FALSE), "")</f>
        <v/>
      </c>
      <c r="F26" s="11"/>
      <c r="G26" s="12" t="str">
        <f t="shared" si="0"/>
        <v/>
      </c>
      <c r="H26" s="13" t="str">
        <f t="shared" si="1"/>
        <v/>
      </c>
      <c r="I26" s="14"/>
      <c r="J26" s="14"/>
    </row>
    <row r="27" spans="1:10" ht="22" customHeight="1">
      <c r="A27" s="15">
        <v>20</v>
      </c>
      <c r="B27" s="16" t="s">
        <v>11</v>
      </c>
      <c r="C27" s="8"/>
      <c r="D27" s="9" t="str">
        <f>IFERROR(VLOOKUP(B27&amp;"-"&amp;C27, '💾 學生體重資料庫'!$A:$I, 4, FALSE), "")</f>
        <v/>
      </c>
      <c r="E27" s="10" t="str">
        <f>IFERROR(VLOOKUP(B27&amp;"-"&amp;C27, '💾 學生體重資料庫'!$A:$I, 8, FALSE), "")</f>
        <v/>
      </c>
      <c r="F27" s="11"/>
      <c r="G27" s="12" t="str">
        <f t="shared" si="0"/>
        <v/>
      </c>
      <c r="H27" s="13" t="str">
        <f t="shared" si="1"/>
        <v/>
      </c>
      <c r="I27" s="14"/>
      <c r="J27" s="14"/>
    </row>
    <row r="28" spans="1:10" ht="22" customHeight="1">
      <c r="A28" s="6">
        <v>21</v>
      </c>
      <c r="B28" s="7" t="s">
        <v>11</v>
      </c>
      <c r="C28" s="8"/>
      <c r="D28" s="9" t="str">
        <f>IFERROR(VLOOKUP(B28&amp;"-"&amp;C28, '💾 學生體重資料庫'!$A:$I, 4, FALSE), "")</f>
        <v/>
      </c>
      <c r="E28" s="10" t="str">
        <f>IFERROR(VLOOKUP(B28&amp;"-"&amp;C28, '💾 學生體重資料庫'!$A:$I, 8, FALSE), "")</f>
        <v/>
      </c>
      <c r="F28" s="11"/>
      <c r="G28" s="12" t="str">
        <f t="shared" si="0"/>
        <v/>
      </c>
      <c r="H28" s="13" t="str">
        <f t="shared" si="1"/>
        <v/>
      </c>
      <c r="I28" s="14"/>
      <c r="J28" s="14"/>
    </row>
    <row r="29" spans="1:10" ht="22" customHeight="1">
      <c r="A29" s="15">
        <v>22</v>
      </c>
      <c r="B29" s="16" t="s">
        <v>11</v>
      </c>
      <c r="C29" s="8"/>
      <c r="D29" s="9" t="str">
        <f>IFERROR(VLOOKUP(B29&amp;"-"&amp;C29, '💾 學生體重資料庫'!$A:$I, 4, FALSE), "")</f>
        <v/>
      </c>
      <c r="E29" s="10" t="str">
        <f>IFERROR(VLOOKUP(B29&amp;"-"&amp;C29, '💾 學生體重資料庫'!$A:$I, 8, FALSE), "")</f>
        <v/>
      </c>
      <c r="F29" s="11"/>
      <c r="G29" s="12" t="str">
        <f t="shared" si="0"/>
        <v/>
      </c>
      <c r="H29" s="13" t="str">
        <f t="shared" si="1"/>
        <v/>
      </c>
      <c r="I29" s="14"/>
      <c r="J29" s="14"/>
    </row>
    <row r="30" spans="1:10" ht="22" customHeight="1">
      <c r="A30" s="6">
        <v>23</v>
      </c>
      <c r="B30" s="7" t="s">
        <v>12</v>
      </c>
      <c r="C30" s="8"/>
      <c r="D30" s="9" t="str">
        <f>IFERROR(VLOOKUP(B30&amp;"-"&amp;C30, '💾 學生體重資料庫'!$A:$I, 4, FALSE), "")</f>
        <v/>
      </c>
      <c r="E30" s="10" t="str">
        <f>IFERROR(VLOOKUP(B30&amp;"-"&amp;C30, '💾 學生體重資料庫'!$A:$I, 8, FALSE), "")</f>
        <v/>
      </c>
      <c r="F30" s="11"/>
      <c r="G30" s="12" t="str">
        <f t="shared" si="0"/>
        <v/>
      </c>
      <c r="H30" s="13" t="str">
        <f t="shared" si="1"/>
        <v/>
      </c>
      <c r="I30" s="14"/>
      <c r="J30" s="14"/>
    </row>
    <row r="31" spans="1:10" ht="22" customHeight="1">
      <c r="A31" s="15">
        <v>24</v>
      </c>
      <c r="B31" s="16" t="s">
        <v>12</v>
      </c>
      <c r="C31" s="8"/>
      <c r="D31" s="9" t="str">
        <f>IFERROR(VLOOKUP(B31&amp;"-"&amp;C31, '💾 學生體重資料庫'!$A:$I, 4, FALSE), "")</f>
        <v/>
      </c>
      <c r="E31" s="10" t="str">
        <f>IFERROR(VLOOKUP(B31&amp;"-"&amp;C31, '💾 學生體重資料庫'!$A:$I, 8, FALSE), "")</f>
        <v/>
      </c>
      <c r="F31" s="11"/>
      <c r="G31" s="12" t="str">
        <f t="shared" si="0"/>
        <v/>
      </c>
      <c r="H31" s="13" t="str">
        <f t="shared" si="1"/>
        <v/>
      </c>
      <c r="I31" s="14"/>
      <c r="J31" s="14"/>
    </row>
    <row r="32" spans="1:10" ht="22" customHeight="1">
      <c r="A32" s="6">
        <v>25</v>
      </c>
      <c r="B32" s="7" t="s">
        <v>12</v>
      </c>
      <c r="C32" s="8"/>
      <c r="D32" s="9" t="str">
        <f>IFERROR(VLOOKUP(B32&amp;"-"&amp;C32, '💾 學生體重資料庫'!$A:$I, 4, FALSE), "")</f>
        <v/>
      </c>
      <c r="E32" s="10" t="str">
        <f>IFERROR(VLOOKUP(B32&amp;"-"&amp;C32, '💾 學生體重資料庫'!$A:$I, 8, FALSE), "")</f>
        <v/>
      </c>
      <c r="F32" s="11"/>
      <c r="G32" s="12" t="str">
        <f t="shared" si="0"/>
        <v/>
      </c>
      <c r="H32" s="13" t="str">
        <f t="shared" si="1"/>
        <v/>
      </c>
      <c r="I32" s="14"/>
      <c r="J32" s="14"/>
    </row>
    <row r="33" spans="1:10" ht="22" customHeight="1">
      <c r="A33" s="15">
        <v>26</v>
      </c>
      <c r="B33" s="16" t="s">
        <v>12</v>
      </c>
      <c r="C33" s="8"/>
      <c r="D33" s="9" t="str">
        <f>IFERROR(VLOOKUP(B33&amp;"-"&amp;C33, '💾 學生體重資料庫'!$A:$I, 4, FALSE), "")</f>
        <v/>
      </c>
      <c r="E33" s="10" t="str">
        <f>IFERROR(VLOOKUP(B33&amp;"-"&amp;C33, '💾 學生體重資料庫'!$A:$I, 8, FALSE), "")</f>
        <v/>
      </c>
      <c r="F33" s="11"/>
      <c r="G33" s="12" t="str">
        <f t="shared" si="0"/>
        <v/>
      </c>
      <c r="H33" s="13" t="str">
        <f t="shared" si="1"/>
        <v/>
      </c>
      <c r="I33" s="14"/>
      <c r="J33" s="14"/>
    </row>
    <row r="34" spans="1:10" ht="22" customHeight="1">
      <c r="A34" s="6">
        <v>27</v>
      </c>
      <c r="B34" s="7" t="s">
        <v>12</v>
      </c>
      <c r="C34" s="8"/>
      <c r="D34" s="9" t="str">
        <f>IFERROR(VLOOKUP(B34&amp;"-"&amp;C34, '💾 學生體重資料庫'!$A:$I, 4, FALSE), "")</f>
        <v/>
      </c>
      <c r="E34" s="10" t="str">
        <f>IFERROR(VLOOKUP(B34&amp;"-"&amp;C34, '💾 學生體重資料庫'!$A:$I, 8, FALSE), "")</f>
        <v/>
      </c>
      <c r="F34" s="11"/>
      <c r="G34" s="12" t="str">
        <f t="shared" si="0"/>
        <v/>
      </c>
      <c r="H34" s="13" t="str">
        <f t="shared" si="1"/>
        <v/>
      </c>
      <c r="I34" s="14"/>
      <c r="J34" s="14"/>
    </row>
    <row r="35" spans="1:10" ht="22" customHeight="1">
      <c r="A35" s="15">
        <v>28</v>
      </c>
      <c r="B35" s="16" t="s">
        <v>12</v>
      </c>
      <c r="C35" s="8"/>
      <c r="D35" s="9" t="str">
        <f>IFERROR(VLOOKUP(B35&amp;"-"&amp;C35, '💾 學生體重資料庫'!$A:$I, 4, FALSE), "")</f>
        <v/>
      </c>
      <c r="E35" s="10" t="str">
        <f>IFERROR(VLOOKUP(B35&amp;"-"&amp;C35, '💾 學生體重資料庫'!$A:$I, 8, FALSE), "")</f>
        <v/>
      </c>
      <c r="F35" s="11"/>
      <c r="G35" s="12" t="str">
        <f t="shared" si="0"/>
        <v/>
      </c>
      <c r="H35" s="13" t="str">
        <f t="shared" si="1"/>
        <v/>
      </c>
      <c r="I35" s="14"/>
      <c r="J35" s="14"/>
    </row>
    <row r="36" spans="1:10" ht="22" customHeight="1">
      <c r="A36" s="6">
        <v>29</v>
      </c>
      <c r="B36" s="7" t="s">
        <v>12</v>
      </c>
      <c r="C36" s="8"/>
      <c r="D36" s="9" t="str">
        <f>IFERROR(VLOOKUP(B36&amp;"-"&amp;C36, '💾 學生體重資料庫'!$A:$I, 4, FALSE), "")</f>
        <v/>
      </c>
      <c r="E36" s="10" t="str">
        <f>IFERROR(VLOOKUP(B36&amp;"-"&amp;C36, '💾 學生體重資料庫'!$A:$I, 8, FALSE), "")</f>
        <v/>
      </c>
      <c r="F36" s="11"/>
      <c r="G36" s="12" t="str">
        <f t="shared" si="0"/>
        <v/>
      </c>
      <c r="H36" s="13" t="str">
        <f t="shared" si="1"/>
        <v/>
      </c>
      <c r="I36" s="14"/>
      <c r="J36" s="14"/>
    </row>
    <row r="37" spans="1:10" ht="22" customHeight="1">
      <c r="A37" s="15">
        <v>30</v>
      </c>
      <c r="B37" s="16" t="s">
        <v>12</v>
      </c>
      <c r="C37" s="8"/>
      <c r="D37" s="9" t="str">
        <f>IFERROR(VLOOKUP(B37&amp;"-"&amp;C37, '💾 學生體重資料庫'!$A:$I, 4, FALSE), "")</f>
        <v/>
      </c>
      <c r="E37" s="10" t="str">
        <f>IFERROR(VLOOKUP(B37&amp;"-"&amp;C37, '💾 學生體重資料庫'!$A:$I, 8, FALSE), "")</f>
        <v/>
      </c>
      <c r="F37" s="11"/>
      <c r="G37" s="12" t="str">
        <f t="shared" si="0"/>
        <v/>
      </c>
      <c r="H37" s="13" t="str">
        <f t="shared" si="1"/>
        <v/>
      </c>
      <c r="I37" s="14"/>
      <c r="J37" s="14"/>
    </row>
    <row r="38" spans="1:10" ht="22" customHeight="1">
      <c r="A38" s="6">
        <v>31</v>
      </c>
      <c r="B38" s="7" t="s">
        <v>12</v>
      </c>
      <c r="C38" s="8"/>
      <c r="D38" s="9" t="str">
        <f>IFERROR(VLOOKUP(B38&amp;"-"&amp;C38, '💾 學生體重資料庫'!$A:$I, 4, FALSE), "")</f>
        <v/>
      </c>
      <c r="E38" s="10" t="str">
        <f>IFERROR(VLOOKUP(B38&amp;"-"&amp;C38, '💾 學生體重資料庫'!$A:$I, 8, FALSE), "")</f>
        <v/>
      </c>
      <c r="F38" s="11"/>
      <c r="G38" s="12" t="str">
        <f t="shared" si="0"/>
        <v/>
      </c>
      <c r="H38" s="13" t="str">
        <f t="shared" si="1"/>
        <v/>
      </c>
      <c r="I38" s="14"/>
      <c r="J38" s="14"/>
    </row>
    <row r="39" spans="1:10" ht="22" customHeight="1">
      <c r="A39" s="15">
        <v>32</v>
      </c>
      <c r="B39" s="16" t="s">
        <v>12</v>
      </c>
      <c r="C39" s="8"/>
      <c r="D39" s="9" t="str">
        <f>IFERROR(VLOOKUP(B39&amp;"-"&amp;C39, '💾 學生體重資料庫'!$A:$I, 4, FALSE), "")</f>
        <v/>
      </c>
      <c r="E39" s="10" t="str">
        <f>IFERROR(VLOOKUP(B39&amp;"-"&amp;C39, '💾 學生體重資料庫'!$A:$I, 8, FALSE), "")</f>
        <v/>
      </c>
      <c r="F39" s="11"/>
      <c r="G39" s="12" t="str">
        <f t="shared" si="0"/>
        <v/>
      </c>
      <c r="H39" s="13" t="str">
        <f t="shared" si="1"/>
        <v/>
      </c>
      <c r="I39" s="14"/>
      <c r="J39" s="14"/>
    </row>
    <row r="40" spans="1:10" ht="22" customHeight="1">
      <c r="A40" s="6">
        <v>33</v>
      </c>
      <c r="B40" s="7" t="s">
        <v>12</v>
      </c>
      <c r="C40" s="8"/>
      <c r="D40" s="9" t="str">
        <f>IFERROR(VLOOKUP(B40&amp;"-"&amp;C40, '💾 學生體重資料庫'!$A:$I, 4, FALSE), "")</f>
        <v/>
      </c>
      <c r="E40" s="10" t="str">
        <f>IFERROR(VLOOKUP(B40&amp;"-"&amp;C40, '💾 學生體重資料庫'!$A:$I, 8, FALSE), "")</f>
        <v/>
      </c>
      <c r="F40" s="11"/>
      <c r="G40" s="12" t="str">
        <f t="shared" si="0"/>
        <v/>
      </c>
      <c r="H40" s="13" t="str">
        <f t="shared" si="1"/>
        <v/>
      </c>
      <c r="I40" s="14"/>
      <c r="J40" s="14"/>
    </row>
    <row r="41" spans="1:10" ht="22" customHeight="1">
      <c r="A41" s="15">
        <v>34</v>
      </c>
      <c r="B41" s="16" t="s">
        <v>13</v>
      </c>
      <c r="C41" s="8"/>
      <c r="D41" s="9" t="str">
        <f>IFERROR(VLOOKUP(B41&amp;"-"&amp;C41, '💾 學生體重資料庫'!$A:$I, 4, FALSE), "")</f>
        <v/>
      </c>
      <c r="E41" s="10" t="str">
        <f>IFERROR(VLOOKUP(B41&amp;"-"&amp;C41, '💾 學生體重資料庫'!$A:$I, 8, FALSE), "")</f>
        <v/>
      </c>
      <c r="F41" s="11"/>
      <c r="G41" s="12" t="str">
        <f t="shared" si="0"/>
        <v/>
      </c>
      <c r="H41" s="13" t="str">
        <f t="shared" si="1"/>
        <v/>
      </c>
      <c r="I41" s="14"/>
      <c r="J41" s="14"/>
    </row>
    <row r="42" spans="1:10" ht="22" customHeight="1">
      <c r="A42" s="6">
        <v>35</v>
      </c>
      <c r="B42" s="7" t="s">
        <v>13</v>
      </c>
      <c r="C42" s="8"/>
      <c r="D42" s="9" t="str">
        <f>IFERROR(VLOOKUP(B42&amp;"-"&amp;C42, '💾 學生體重資料庫'!$A:$I, 4, FALSE), "")</f>
        <v/>
      </c>
      <c r="E42" s="10" t="str">
        <f>IFERROR(VLOOKUP(B42&amp;"-"&amp;C42, '💾 學生體重資料庫'!$A:$I, 8, FALSE), "")</f>
        <v/>
      </c>
      <c r="F42" s="11"/>
      <c r="G42" s="12" t="str">
        <f t="shared" si="0"/>
        <v/>
      </c>
      <c r="H42" s="13" t="str">
        <f t="shared" si="1"/>
        <v/>
      </c>
      <c r="I42" s="14"/>
      <c r="J42" s="14"/>
    </row>
    <row r="43" spans="1:10" ht="22" customHeight="1">
      <c r="A43" s="15">
        <v>36</v>
      </c>
      <c r="B43" s="16" t="s">
        <v>13</v>
      </c>
      <c r="C43" s="8"/>
      <c r="D43" s="9" t="str">
        <f>IFERROR(VLOOKUP(B43&amp;"-"&amp;C43, '💾 學生體重資料庫'!$A:$I, 4, FALSE), "")</f>
        <v/>
      </c>
      <c r="E43" s="10" t="str">
        <f>IFERROR(VLOOKUP(B43&amp;"-"&amp;C43, '💾 學生體重資料庫'!$A:$I, 8, FALSE), "")</f>
        <v/>
      </c>
      <c r="F43" s="11"/>
      <c r="G43" s="12" t="str">
        <f t="shared" si="0"/>
        <v/>
      </c>
      <c r="H43" s="13" t="str">
        <f t="shared" si="1"/>
        <v/>
      </c>
      <c r="I43" s="14"/>
      <c r="J43" s="14"/>
    </row>
    <row r="44" spans="1:10" ht="22" customHeight="1">
      <c r="A44" s="6">
        <v>37</v>
      </c>
      <c r="B44" s="7" t="s">
        <v>13</v>
      </c>
      <c r="C44" s="8"/>
      <c r="D44" s="9" t="str">
        <f>IFERROR(VLOOKUP(B44&amp;"-"&amp;C44, '💾 學生體重資料庫'!$A:$I, 4, FALSE), "")</f>
        <v/>
      </c>
      <c r="E44" s="10" t="str">
        <f>IFERROR(VLOOKUP(B44&amp;"-"&amp;C44, '💾 學生體重資料庫'!$A:$I, 8, FALSE), "")</f>
        <v/>
      </c>
      <c r="F44" s="11"/>
      <c r="G44" s="12" t="str">
        <f t="shared" si="0"/>
        <v/>
      </c>
      <c r="H44" s="13" t="str">
        <f t="shared" si="1"/>
        <v/>
      </c>
      <c r="I44" s="14"/>
      <c r="J44" s="14"/>
    </row>
    <row r="45" spans="1:10" ht="22" customHeight="1">
      <c r="A45" s="15">
        <v>38</v>
      </c>
      <c r="B45" s="16" t="s">
        <v>13</v>
      </c>
      <c r="C45" s="8"/>
      <c r="D45" s="9" t="str">
        <f>IFERROR(VLOOKUP(B45&amp;"-"&amp;C45, '💾 學生體重資料庫'!$A:$I, 4, FALSE), "")</f>
        <v/>
      </c>
      <c r="E45" s="10" t="str">
        <f>IFERROR(VLOOKUP(B45&amp;"-"&amp;C45, '💾 學生體重資料庫'!$A:$I, 8, FALSE), "")</f>
        <v/>
      </c>
      <c r="F45" s="11"/>
      <c r="G45" s="12" t="str">
        <f t="shared" si="0"/>
        <v/>
      </c>
      <c r="H45" s="13" t="str">
        <f t="shared" si="1"/>
        <v/>
      </c>
      <c r="I45" s="14"/>
      <c r="J45" s="14"/>
    </row>
    <row r="46" spans="1:10" ht="22" customHeight="1">
      <c r="A46" s="6">
        <v>39</v>
      </c>
      <c r="B46" s="7" t="s">
        <v>13</v>
      </c>
      <c r="C46" s="8"/>
      <c r="D46" s="9" t="str">
        <f>IFERROR(VLOOKUP(B46&amp;"-"&amp;C46, '💾 學生體重資料庫'!$A:$I, 4, FALSE), "")</f>
        <v/>
      </c>
      <c r="E46" s="10" t="str">
        <f>IFERROR(VLOOKUP(B46&amp;"-"&amp;C46, '💾 學生體重資料庫'!$A:$I, 8, FALSE), "")</f>
        <v/>
      </c>
      <c r="F46" s="11"/>
      <c r="G46" s="12" t="str">
        <f t="shared" si="0"/>
        <v/>
      </c>
      <c r="H46" s="13" t="str">
        <f t="shared" si="1"/>
        <v/>
      </c>
      <c r="I46" s="14"/>
      <c r="J46" s="14"/>
    </row>
    <row r="47" spans="1:10" ht="22" customHeight="1">
      <c r="A47" s="15">
        <v>40</v>
      </c>
      <c r="B47" s="16" t="s">
        <v>13</v>
      </c>
      <c r="C47" s="8"/>
      <c r="D47" s="9" t="str">
        <f>IFERROR(VLOOKUP(B47&amp;"-"&amp;C47, '💾 學生體重資料庫'!$A:$I, 4, FALSE), "")</f>
        <v/>
      </c>
      <c r="E47" s="10" t="str">
        <f>IFERROR(VLOOKUP(B47&amp;"-"&amp;C47, '💾 學生體重資料庫'!$A:$I, 8, FALSE), "")</f>
        <v/>
      </c>
      <c r="F47" s="11"/>
      <c r="G47" s="12" t="str">
        <f t="shared" si="0"/>
        <v/>
      </c>
      <c r="H47" s="13" t="str">
        <f t="shared" si="1"/>
        <v/>
      </c>
      <c r="I47" s="14"/>
      <c r="J47" s="14"/>
    </row>
    <row r="48" spans="1:10" ht="22" customHeight="1">
      <c r="A48" s="6">
        <v>41</v>
      </c>
      <c r="B48" s="7" t="s">
        <v>13</v>
      </c>
      <c r="C48" s="8"/>
      <c r="D48" s="9" t="str">
        <f>IFERROR(VLOOKUP(B48&amp;"-"&amp;C48, '💾 學生體重資料庫'!$A:$I, 4, FALSE), "")</f>
        <v/>
      </c>
      <c r="E48" s="10" t="str">
        <f>IFERROR(VLOOKUP(B48&amp;"-"&amp;C48, '💾 學生體重資料庫'!$A:$I, 8, FALSE), "")</f>
        <v/>
      </c>
      <c r="F48" s="11"/>
      <c r="G48" s="12" t="str">
        <f t="shared" si="0"/>
        <v/>
      </c>
      <c r="H48" s="13" t="str">
        <f t="shared" si="1"/>
        <v/>
      </c>
      <c r="I48" s="14"/>
      <c r="J48" s="14"/>
    </row>
    <row r="49" spans="1:10" ht="22" customHeight="1">
      <c r="A49" s="15">
        <v>42</v>
      </c>
      <c r="B49" s="16" t="s">
        <v>13</v>
      </c>
      <c r="C49" s="8"/>
      <c r="D49" s="9" t="str">
        <f>IFERROR(VLOOKUP(B49&amp;"-"&amp;C49, '💾 學生體重資料庫'!$A:$I, 4, FALSE), "")</f>
        <v/>
      </c>
      <c r="E49" s="10" t="str">
        <f>IFERROR(VLOOKUP(B49&amp;"-"&amp;C49, '💾 學生體重資料庫'!$A:$I, 8, FALSE), "")</f>
        <v/>
      </c>
      <c r="F49" s="11"/>
      <c r="G49" s="12" t="str">
        <f t="shared" si="0"/>
        <v/>
      </c>
      <c r="H49" s="13" t="str">
        <f t="shared" si="1"/>
        <v/>
      </c>
      <c r="I49" s="14"/>
      <c r="J49" s="14"/>
    </row>
    <row r="50" spans="1:10" ht="22" customHeight="1">
      <c r="A50" s="6">
        <v>43</v>
      </c>
      <c r="B50" s="7" t="s">
        <v>13</v>
      </c>
      <c r="C50" s="8"/>
      <c r="D50" s="9" t="str">
        <f>IFERROR(VLOOKUP(B50&amp;"-"&amp;C50, '💾 學生體重資料庫'!$A:$I, 4, FALSE), "")</f>
        <v/>
      </c>
      <c r="E50" s="10" t="str">
        <f>IFERROR(VLOOKUP(B50&amp;"-"&amp;C50, '💾 學生體重資料庫'!$A:$I, 8, FALSE), "")</f>
        <v/>
      </c>
      <c r="F50" s="11"/>
      <c r="G50" s="12" t="str">
        <f t="shared" si="0"/>
        <v/>
      </c>
      <c r="H50" s="13" t="str">
        <f t="shared" si="1"/>
        <v/>
      </c>
      <c r="I50" s="14"/>
      <c r="J50" s="14"/>
    </row>
    <row r="51" spans="1:10" ht="22" customHeight="1">
      <c r="A51" s="15">
        <v>44</v>
      </c>
      <c r="B51" s="16" t="s">
        <v>13</v>
      </c>
      <c r="C51" s="8"/>
      <c r="D51" s="9" t="str">
        <f>IFERROR(VLOOKUP(B51&amp;"-"&amp;C51, '💾 學生體重資料庫'!$A:$I, 4, FALSE), "")</f>
        <v/>
      </c>
      <c r="E51" s="10" t="str">
        <f>IFERROR(VLOOKUP(B51&amp;"-"&amp;C51, '💾 學生體重資料庫'!$A:$I, 8, FALSE), "")</f>
        <v/>
      </c>
      <c r="F51" s="11"/>
      <c r="G51" s="12" t="str">
        <f t="shared" si="0"/>
        <v/>
      </c>
      <c r="H51" s="13" t="str">
        <f t="shared" si="1"/>
        <v/>
      </c>
      <c r="I51" s="14"/>
      <c r="J51" s="14"/>
    </row>
    <row r="52" spans="1:10" ht="22" customHeight="1">
      <c r="A52" s="6">
        <v>45</v>
      </c>
      <c r="B52" s="7" t="s">
        <v>14</v>
      </c>
      <c r="C52" s="8"/>
      <c r="D52" s="9" t="str">
        <f>IFERROR(VLOOKUP(B52&amp;"-"&amp;C52, '💾 學生體重資料庫'!$A:$I, 4, FALSE), "")</f>
        <v/>
      </c>
      <c r="E52" s="10" t="str">
        <f>IFERROR(VLOOKUP(B52&amp;"-"&amp;C52, '💾 學生體重資料庫'!$A:$I, 8, FALSE), "")</f>
        <v/>
      </c>
      <c r="F52" s="11"/>
      <c r="G52" s="12" t="str">
        <f t="shared" si="0"/>
        <v/>
      </c>
      <c r="H52" s="13" t="str">
        <f t="shared" si="1"/>
        <v/>
      </c>
      <c r="I52" s="14"/>
      <c r="J52" s="14"/>
    </row>
    <row r="53" spans="1:10" ht="22" customHeight="1">
      <c r="A53" s="15">
        <v>46</v>
      </c>
      <c r="B53" s="16" t="s">
        <v>14</v>
      </c>
      <c r="C53" s="8"/>
      <c r="D53" s="9" t="str">
        <f>IFERROR(VLOOKUP(B53&amp;"-"&amp;C53, '💾 學生體重資料庫'!$A:$I, 4, FALSE), "")</f>
        <v/>
      </c>
      <c r="E53" s="10" t="str">
        <f>IFERROR(VLOOKUP(B53&amp;"-"&amp;C53, '💾 學生體重資料庫'!$A:$I, 8, FALSE), "")</f>
        <v/>
      </c>
      <c r="F53" s="11"/>
      <c r="G53" s="12" t="str">
        <f t="shared" si="0"/>
        <v/>
      </c>
      <c r="H53" s="13" t="str">
        <f t="shared" si="1"/>
        <v/>
      </c>
      <c r="I53" s="14"/>
      <c r="J53" s="14"/>
    </row>
    <row r="54" spans="1:10" ht="22" customHeight="1">
      <c r="A54" s="6">
        <v>47</v>
      </c>
      <c r="B54" s="7" t="s">
        <v>14</v>
      </c>
      <c r="C54" s="8"/>
      <c r="D54" s="9" t="str">
        <f>IFERROR(VLOOKUP(B54&amp;"-"&amp;C54, '💾 學生體重資料庫'!$A:$I, 4, FALSE), "")</f>
        <v/>
      </c>
      <c r="E54" s="10" t="str">
        <f>IFERROR(VLOOKUP(B54&amp;"-"&amp;C54, '💾 學生體重資料庫'!$A:$I, 8, FALSE), "")</f>
        <v/>
      </c>
      <c r="F54" s="11"/>
      <c r="G54" s="12" t="str">
        <f t="shared" si="0"/>
        <v/>
      </c>
      <c r="H54" s="13" t="str">
        <f t="shared" si="1"/>
        <v/>
      </c>
      <c r="I54" s="14"/>
      <c r="J54" s="14"/>
    </row>
    <row r="55" spans="1:10" ht="22" customHeight="1">
      <c r="A55" s="15">
        <v>48</v>
      </c>
      <c r="B55" s="16" t="s">
        <v>14</v>
      </c>
      <c r="C55" s="8"/>
      <c r="D55" s="9" t="str">
        <f>IFERROR(VLOOKUP(B55&amp;"-"&amp;C55, '💾 學生體重資料庫'!$A:$I, 4, FALSE), "")</f>
        <v/>
      </c>
      <c r="E55" s="10" t="str">
        <f>IFERROR(VLOOKUP(B55&amp;"-"&amp;C55, '💾 學生體重資料庫'!$A:$I, 8, FALSE), "")</f>
        <v/>
      </c>
      <c r="F55" s="11"/>
      <c r="G55" s="12" t="str">
        <f t="shared" si="0"/>
        <v/>
      </c>
      <c r="H55" s="13" t="str">
        <f t="shared" si="1"/>
        <v/>
      </c>
      <c r="I55" s="14"/>
      <c r="J55" s="14"/>
    </row>
    <row r="56" spans="1:10" ht="22" customHeight="1">
      <c r="A56" s="6">
        <v>49</v>
      </c>
      <c r="B56" s="7" t="s">
        <v>14</v>
      </c>
      <c r="C56" s="8"/>
      <c r="D56" s="9" t="str">
        <f>IFERROR(VLOOKUP(B56&amp;"-"&amp;C56, '💾 學生體重資料庫'!$A:$I, 4, FALSE), "")</f>
        <v/>
      </c>
      <c r="E56" s="10" t="str">
        <f>IFERROR(VLOOKUP(B56&amp;"-"&amp;C56, '💾 學生體重資料庫'!$A:$I, 8, FALSE), "")</f>
        <v/>
      </c>
      <c r="F56" s="11"/>
      <c r="G56" s="12" t="str">
        <f t="shared" si="0"/>
        <v/>
      </c>
      <c r="H56" s="13" t="str">
        <f t="shared" si="1"/>
        <v/>
      </c>
      <c r="I56" s="14"/>
      <c r="J56" s="14"/>
    </row>
    <row r="57" spans="1:10" ht="22" customHeight="1">
      <c r="A57" s="15">
        <v>50</v>
      </c>
      <c r="B57" s="16" t="s">
        <v>14</v>
      </c>
      <c r="C57" s="8"/>
      <c r="D57" s="9" t="str">
        <f>IFERROR(VLOOKUP(B57&amp;"-"&amp;C57, '💾 學生體重資料庫'!$A:$I, 4, FALSE), "")</f>
        <v/>
      </c>
      <c r="E57" s="10" t="str">
        <f>IFERROR(VLOOKUP(B57&amp;"-"&amp;C57, '💾 學生體重資料庫'!$A:$I, 8, FALSE), "")</f>
        <v/>
      </c>
      <c r="F57" s="11"/>
      <c r="G57" s="12" t="str">
        <f t="shared" si="0"/>
        <v/>
      </c>
      <c r="H57" s="13" t="str">
        <f t="shared" si="1"/>
        <v/>
      </c>
      <c r="I57" s="14"/>
      <c r="J57" s="14"/>
    </row>
    <row r="58" spans="1:10" ht="22" customHeight="1">
      <c r="A58" s="6">
        <v>51</v>
      </c>
      <c r="B58" s="7" t="s">
        <v>14</v>
      </c>
      <c r="C58" s="8"/>
      <c r="D58" s="9" t="str">
        <f>IFERROR(VLOOKUP(B58&amp;"-"&amp;C58, '💾 學生體重資料庫'!$A:$I, 4, FALSE), "")</f>
        <v/>
      </c>
      <c r="E58" s="10" t="str">
        <f>IFERROR(VLOOKUP(B58&amp;"-"&amp;C58, '💾 學生體重資料庫'!$A:$I, 8, FALSE), "")</f>
        <v/>
      </c>
      <c r="F58" s="11"/>
      <c r="G58" s="12" t="str">
        <f t="shared" si="0"/>
        <v/>
      </c>
      <c r="H58" s="13" t="str">
        <f t="shared" si="1"/>
        <v/>
      </c>
      <c r="I58" s="14"/>
      <c r="J58" s="14"/>
    </row>
    <row r="59" spans="1:10" ht="22" customHeight="1">
      <c r="A59" s="15">
        <v>52</v>
      </c>
      <c r="B59" s="16" t="s">
        <v>14</v>
      </c>
      <c r="C59" s="8"/>
      <c r="D59" s="9" t="str">
        <f>IFERROR(VLOOKUP(B59&amp;"-"&amp;C59, '💾 學生體重資料庫'!$A:$I, 4, FALSE), "")</f>
        <v/>
      </c>
      <c r="E59" s="10" t="str">
        <f>IFERROR(VLOOKUP(B59&amp;"-"&amp;C59, '💾 學生體重資料庫'!$A:$I, 8, FALSE), "")</f>
        <v/>
      </c>
      <c r="F59" s="11"/>
      <c r="G59" s="12" t="str">
        <f t="shared" si="0"/>
        <v/>
      </c>
      <c r="H59" s="13" t="str">
        <f t="shared" si="1"/>
        <v/>
      </c>
      <c r="I59" s="14"/>
      <c r="J59" s="14"/>
    </row>
    <row r="60" spans="1:10" ht="22" customHeight="1">
      <c r="A60" s="6">
        <v>53</v>
      </c>
      <c r="B60" s="7" t="s">
        <v>14</v>
      </c>
      <c r="C60" s="8"/>
      <c r="D60" s="9" t="str">
        <f>IFERROR(VLOOKUP(B60&amp;"-"&amp;C60, '💾 學生體重資料庫'!$A:$I, 4, FALSE), "")</f>
        <v/>
      </c>
      <c r="E60" s="10" t="str">
        <f>IFERROR(VLOOKUP(B60&amp;"-"&amp;C60, '💾 學生體重資料庫'!$A:$I, 8, FALSE), "")</f>
        <v/>
      </c>
      <c r="F60" s="11"/>
      <c r="G60" s="12" t="str">
        <f t="shared" si="0"/>
        <v/>
      </c>
      <c r="H60" s="13" t="str">
        <f t="shared" si="1"/>
        <v/>
      </c>
      <c r="I60" s="14"/>
      <c r="J60" s="14"/>
    </row>
    <row r="61" spans="1:10" ht="22" customHeight="1">
      <c r="A61" s="15">
        <v>54</v>
      </c>
      <c r="B61" s="16" t="s">
        <v>14</v>
      </c>
      <c r="C61" s="8"/>
      <c r="D61" s="9" t="str">
        <f>IFERROR(VLOOKUP(B61&amp;"-"&amp;C61, '💾 學生體重資料庫'!$A:$I, 4, FALSE), "")</f>
        <v/>
      </c>
      <c r="E61" s="10" t="str">
        <f>IFERROR(VLOOKUP(B61&amp;"-"&amp;C61, '💾 學生體重資料庫'!$A:$I, 8, FALSE), "")</f>
        <v/>
      </c>
      <c r="F61" s="11"/>
      <c r="G61" s="12" t="str">
        <f t="shared" si="0"/>
        <v/>
      </c>
      <c r="H61" s="13" t="str">
        <f t="shared" si="1"/>
        <v/>
      </c>
      <c r="I61" s="14"/>
      <c r="J61" s="14"/>
    </row>
    <row r="62" spans="1:10" ht="22" customHeight="1">
      <c r="A62" s="6">
        <v>55</v>
      </c>
      <c r="B62" s="7" t="s">
        <v>14</v>
      </c>
      <c r="C62" s="8"/>
      <c r="D62" s="9" t="str">
        <f>IFERROR(VLOOKUP(B62&amp;"-"&amp;C62, '💾 學生體重資料庫'!$A:$I, 4, FALSE), "")</f>
        <v/>
      </c>
      <c r="E62" s="10" t="str">
        <f>IFERROR(VLOOKUP(B62&amp;"-"&amp;C62, '💾 學生體重資料庫'!$A:$I, 8, FALSE), "")</f>
        <v/>
      </c>
      <c r="F62" s="11"/>
      <c r="G62" s="12" t="str">
        <f t="shared" si="0"/>
        <v/>
      </c>
      <c r="H62" s="13" t="str">
        <f t="shared" si="1"/>
        <v/>
      </c>
      <c r="I62" s="14"/>
      <c r="J62" s="14"/>
    </row>
    <row r="63" spans="1:10" ht="22" customHeight="1">
      <c r="A63" s="15">
        <v>56</v>
      </c>
      <c r="B63" s="16" t="s">
        <v>15</v>
      </c>
      <c r="C63" s="8"/>
      <c r="D63" s="9" t="str">
        <f>IFERROR(VLOOKUP(B63&amp;"-"&amp;C63, '💾 學生體重資料庫'!$A:$I, 4, FALSE), "")</f>
        <v/>
      </c>
      <c r="E63" s="10" t="str">
        <f>IFERROR(VLOOKUP(B63&amp;"-"&amp;C63, '💾 學生體重資料庫'!$A:$I, 8, FALSE), "")</f>
        <v/>
      </c>
      <c r="F63" s="11"/>
      <c r="G63" s="12" t="str">
        <f t="shared" si="0"/>
        <v/>
      </c>
      <c r="H63" s="13" t="str">
        <f t="shared" si="1"/>
        <v/>
      </c>
      <c r="I63" s="14"/>
      <c r="J63" s="14"/>
    </row>
    <row r="64" spans="1:10" ht="22" customHeight="1">
      <c r="A64" s="6">
        <v>57</v>
      </c>
      <c r="B64" s="7" t="s">
        <v>15</v>
      </c>
      <c r="C64" s="8"/>
      <c r="D64" s="9" t="str">
        <f>IFERROR(VLOOKUP(B64&amp;"-"&amp;C64, '💾 學生體重資料庫'!$A:$I, 4, FALSE), "")</f>
        <v/>
      </c>
      <c r="E64" s="10" t="str">
        <f>IFERROR(VLOOKUP(B64&amp;"-"&amp;C64, '💾 學生體重資料庫'!$A:$I, 8, FALSE), "")</f>
        <v/>
      </c>
      <c r="F64" s="11"/>
      <c r="G64" s="12" t="str">
        <f t="shared" si="0"/>
        <v/>
      </c>
      <c r="H64" s="13" t="str">
        <f t="shared" si="1"/>
        <v/>
      </c>
      <c r="I64" s="14"/>
      <c r="J64" s="14"/>
    </row>
    <row r="65" spans="1:10" ht="22" customHeight="1">
      <c r="A65" s="15">
        <v>58</v>
      </c>
      <c r="B65" s="16" t="s">
        <v>15</v>
      </c>
      <c r="C65" s="8"/>
      <c r="D65" s="9" t="str">
        <f>IFERROR(VLOOKUP(B65&amp;"-"&amp;C65, '💾 學生體重資料庫'!$A:$I, 4, FALSE), "")</f>
        <v/>
      </c>
      <c r="E65" s="10" t="str">
        <f>IFERROR(VLOOKUP(B65&amp;"-"&amp;C65, '💾 學生體重資料庫'!$A:$I, 8, FALSE), "")</f>
        <v/>
      </c>
      <c r="F65" s="11"/>
      <c r="G65" s="12" t="str">
        <f t="shared" si="0"/>
        <v/>
      </c>
      <c r="H65" s="13" t="str">
        <f t="shared" si="1"/>
        <v/>
      </c>
      <c r="I65" s="14"/>
      <c r="J65" s="14"/>
    </row>
    <row r="66" spans="1:10" ht="22" customHeight="1">
      <c r="A66" s="6">
        <v>59</v>
      </c>
      <c r="B66" s="7" t="s">
        <v>15</v>
      </c>
      <c r="C66" s="8"/>
      <c r="D66" s="9" t="str">
        <f>IFERROR(VLOOKUP(B66&amp;"-"&amp;C66, '💾 學生體重資料庫'!$A:$I, 4, FALSE), "")</f>
        <v/>
      </c>
      <c r="E66" s="10" t="str">
        <f>IFERROR(VLOOKUP(B66&amp;"-"&amp;C66, '💾 學生體重資料庫'!$A:$I, 8, FALSE), "")</f>
        <v/>
      </c>
      <c r="F66" s="11"/>
      <c r="G66" s="12" t="str">
        <f t="shared" si="0"/>
        <v/>
      </c>
      <c r="H66" s="13" t="str">
        <f t="shared" si="1"/>
        <v/>
      </c>
      <c r="I66" s="14"/>
      <c r="J66" s="14"/>
    </row>
    <row r="67" spans="1:10" ht="22" customHeight="1">
      <c r="A67" s="15">
        <v>60</v>
      </c>
      <c r="B67" s="16" t="s">
        <v>15</v>
      </c>
      <c r="C67" s="8"/>
      <c r="D67" s="9" t="str">
        <f>IFERROR(VLOOKUP(B67&amp;"-"&amp;C67, '💾 學生體重資料庫'!$A:$I, 4, FALSE), "")</f>
        <v/>
      </c>
      <c r="E67" s="10" t="str">
        <f>IFERROR(VLOOKUP(B67&amp;"-"&amp;C67, '💾 學生體重資料庫'!$A:$I, 8, FALSE), "")</f>
        <v/>
      </c>
      <c r="F67" s="11"/>
      <c r="G67" s="12" t="str">
        <f t="shared" si="0"/>
        <v/>
      </c>
      <c r="H67" s="13" t="str">
        <f t="shared" si="1"/>
        <v/>
      </c>
      <c r="I67" s="14"/>
      <c r="J67" s="14"/>
    </row>
    <row r="68" spans="1:10" ht="22" customHeight="1">
      <c r="A68" s="6">
        <v>61</v>
      </c>
      <c r="B68" s="7" t="s">
        <v>15</v>
      </c>
      <c r="C68" s="8"/>
      <c r="D68" s="9" t="str">
        <f>IFERROR(VLOOKUP(B68&amp;"-"&amp;C68, '💾 學生體重資料庫'!$A:$I, 4, FALSE), "")</f>
        <v/>
      </c>
      <c r="E68" s="10" t="str">
        <f>IFERROR(VLOOKUP(B68&amp;"-"&amp;C68, '💾 學生體重資料庫'!$A:$I, 8, FALSE), "")</f>
        <v/>
      </c>
      <c r="F68" s="11"/>
      <c r="G68" s="12" t="str">
        <f t="shared" si="0"/>
        <v/>
      </c>
      <c r="H68" s="13" t="str">
        <f t="shared" si="1"/>
        <v/>
      </c>
      <c r="I68" s="14"/>
      <c r="J68" s="14"/>
    </row>
    <row r="69" spans="1:10" ht="22" customHeight="1">
      <c r="A69" s="15">
        <v>62</v>
      </c>
      <c r="B69" s="16" t="s">
        <v>15</v>
      </c>
      <c r="C69" s="8"/>
      <c r="D69" s="9" t="str">
        <f>IFERROR(VLOOKUP(B69&amp;"-"&amp;C69, '💾 學生體重資料庫'!$A:$I, 4, FALSE), "")</f>
        <v/>
      </c>
      <c r="E69" s="10" t="str">
        <f>IFERROR(VLOOKUP(B69&amp;"-"&amp;C69, '💾 學生體重資料庫'!$A:$I, 8, FALSE), "")</f>
        <v/>
      </c>
      <c r="F69" s="11"/>
      <c r="G69" s="12" t="str">
        <f t="shared" si="0"/>
        <v/>
      </c>
      <c r="H69" s="13" t="str">
        <f t="shared" si="1"/>
        <v/>
      </c>
      <c r="I69" s="14"/>
      <c r="J69" s="14"/>
    </row>
    <row r="70" spans="1:10" ht="22" customHeight="1">
      <c r="A70" s="6">
        <v>63</v>
      </c>
      <c r="B70" s="7" t="s">
        <v>15</v>
      </c>
      <c r="C70" s="8"/>
      <c r="D70" s="9" t="str">
        <f>IFERROR(VLOOKUP(B70&amp;"-"&amp;C70, '💾 學生體重資料庫'!$A:$I, 4, FALSE), "")</f>
        <v/>
      </c>
      <c r="E70" s="10" t="str">
        <f>IFERROR(VLOOKUP(B70&amp;"-"&amp;C70, '💾 學生體重資料庫'!$A:$I, 8, FALSE), "")</f>
        <v/>
      </c>
      <c r="F70" s="11"/>
      <c r="G70" s="12" t="str">
        <f t="shared" si="0"/>
        <v/>
      </c>
      <c r="H70" s="13" t="str">
        <f t="shared" si="1"/>
        <v/>
      </c>
      <c r="I70" s="14"/>
      <c r="J70" s="14"/>
    </row>
    <row r="71" spans="1:10" ht="22" customHeight="1">
      <c r="A71" s="15">
        <v>64</v>
      </c>
      <c r="B71" s="16" t="s">
        <v>15</v>
      </c>
      <c r="C71" s="8"/>
      <c r="D71" s="9" t="str">
        <f>IFERROR(VLOOKUP(B71&amp;"-"&amp;C71, '💾 學生體重資料庫'!$A:$I, 4, FALSE), "")</f>
        <v/>
      </c>
      <c r="E71" s="10" t="str">
        <f>IFERROR(VLOOKUP(B71&amp;"-"&amp;C71, '💾 學生體重資料庫'!$A:$I, 8, FALSE), "")</f>
        <v/>
      </c>
      <c r="F71" s="11"/>
      <c r="G71" s="12" t="str">
        <f t="shared" si="0"/>
        <v/>
      </c>
      <c r="H71" s="13" t="str">
        <f t="shared" si="1"/>
        <v/>
      </c>
      <c r="I71" s="14"/>
      <c r="J71" s="14"/>
    </row>
    <row r="72" spans="1:10" ht="22" customHeight="1">
      <c r="A72" s="6">
        <v>65</v>
      </c>
      <c r="B72" s="7" t="s">
        <v>15</v>
      </c>
      <c r="C72" s="8"/>
      <c r="D72" s="9" t="str">
        <f>IFERROR(VLOOKUP(B72&amp;"-"&amp;C72, '💾 學生體重資料庫'!$A:$I, 4, FALSE), "")</f>
        <v/>
      </c>
      <c r="E72" s="10" t="str">
        <f>IFERROR(VLOOKUP(B72&amp;"-"&amp;C72, '💾 學生體重資料庫'!$A:$I, 8, FALSE), "")</f>
        <v/>
      </c>
      <c r="F72" s="11"/>
      <c r="G72" s="12" t="str">
        <f t="shared" ref="G72:G135" si="2">IF(OR(NOT(ISNUMBER(E72)), NOT(ISNUMBER(F72)), E72=0), "", F72/E72)</f>
        <v/>
      </c>
      <c r="H72" s="13" t="str">
        <f t="shared" ref="H72:H135" si="3">IF(G72="", "", IF(G72&lt;=0.15, "達標", "超重"))</f>
        <v/>
      </c>
      <c r="I72" s="14"/>
      <c r="J72" s="14"/>
    </row>
    <row r="73" spans="1:10" ht="22" customHeight="1">
      <c r="A73" s="15">
        <v>66</v>
      </c>
      <c r="B73" s="16" t="s">
        <v>15</v>
      </c>
      <c r="C73" s="8"/>
      <c r="D73" s="9" t="str">
        <f>IFERROR(VLOOKUP(B73&amp;"-"&amp;C73, '💾 學生體重資料庫'!$A:$I, 4, FALSE), "")</f>
        <v/>
      </c>
      <c r="E73" s="10" t="str">
        <f>IFERROR(VLOOKUP(B73&amp;"-"&amp;C73, '💾 學生體重資料庫'!$A:$I, 8, FALSE), "")</f>
        <v/>
      </c>
      <c r="F73" s="11"/>
      <c r="G73" s="12" t="str">
        <f t="shared" si="2"/>
        <v/>
      </c>
      <c r="H73" s="13" t="str">
        <f t="shared" si="3"/>
        <v/>
      </c>
      <c r="I73" s="14"/>
      <c r="J73" s="14"/>
    </row>
    <row r="74" spans="1:10" ht="22" customHeight="1">
      <c r="A74" s="6">
        <v>67</v>
      </c>
      <c r="B74" s="7" t="s">
        <v>16</v>
      </c>
      <c r="C74" s="8"/>
      <c r="D74" s="9" t="str">
        <f>IFERROR(VLOOKUP(B74&amp;"-"&amp;C74, '💾 學生體重資料庫'!$A:$I, 4, FALSE), "")</f>
        <v/>
      </c>
      <c r="E74" s="10" t="str">
        <f>IFERROR(VLOOKUP(B74&amp;"-"&amp;C74, '💾 學生體重資料庫'!$A:$I, 8, FALSE), "")</f>
        <v/>
      </c>
      <c r="F74" s="11"/>
      <c r="G74" s="12" t="str">
        <f t="shared" si="2"/>
        <v/>
      </c>
      <c r="H74" s="13" t="str">
        <f t="shared" si="3"/>
        <v/>
      </c>
      <c r="I74" s="14"/>
      <c r="J74" s="14"/>
    </row>
    <row r="75" spans="1:10" ht="22" customHeight="1">
      <c r="A75" s="15">
        <v>68</v>
      </c>
      <c r="B75" s="16" t="s">
        <v>16</v>
      </c>
      <c r="C75" s="8"/>
      <c r="D75" s="9" t="str">
        <f>IFERROR(VLOOKUP(B75&amp;"-"&amp;C75, '💾 學生體重資料庫'!$A:$I, 4, FALSE), "")</f>
        <v/>
      </c>
      <c r="E75" s="10" t="str">
        <f>IFERROR(VLOOKUP(B75&amp;"-"&amp;C75, '💾 學生體重資料庫'!$A:$I, 8, FALSE), "")</f>
        <v/>
      </c>
      <c r="F75" s="11"/>
      <c r="G75" s="12" t="str">
        <f t="shared" si="2"/>
        <v/>
      </c>
      <c r="H75" s="13" t="str">
        <f t="shared" si="3"/>
        <v/>
      </c>
      <c r="I75" s="14"/>
      <c r="J75" s="14"/>
    </row>
    <row r="76" spans="1:10" ht="22" customHeight="1">
      <c r="A76" s="6">
        <v>69</v>
      </c>
      <c r="B76" s="7" t="s">
        <v>16</v>
      </c>
      <c r="C76" s="8"/>
      <c r="D76" s="9" t="str">
        <f>IFERROR(VLOOKUP(B76&amp;"-"&amp;C76, '💾 學生體重資料庫'!$A:$I, 4, FALSE), "")</f>
        <v/>
      </c>
      <c r="E76" s="10" t="str">
        <f>IFERROR(VLOOKUP(B76&amp;"-"&amp;C76, '💾 學生體重資料庫'!$A:$I, 8, FALSE), "")</f>
        <v/>
      </c>
      <c r="F76" s="11"/>
      <c r="G76" s="12" t="str">
        <f t="shared" si="2"/>
        <v/>
      </c>
      <c r="H76" s="13" t="str">
        <f t="shared" si="3"/>
        <v/>
      </c>
      <c r="I76" s="14"/>
      <c r="J76" s="14"/>
    </row>
    <row r="77" spans="1:10" ht="22" customHeight="1">
      <c r="A77" s="15">
        <v>70</v>
      </c>
      <c r="B77" s="16" t="s">
        <v>16</v>
      </c>
      <c r="C77" s="8"/>
      <c r="D77" s="9" t="str">
        <f>IFERROR(VLOOKUP(B77&amp;"-"&amp;C77, '💾 學生體重資料庫'!$A:$I, 4, FALSE), "")</f>
        <v/>
      </c>
      <c r="E77" s="10" t="str">
        <f>IFERROR(VLOOKUP(B77&amp;"-"&amp;C77, '💾 學生體重資料庫'!$A:$I, 8, FALSE), "")</f>
        <v/>
      </c>
      <c r="F77" s="11"/>
      <c r="G77" s="12" t="str">
        <f t="shared" si="2"/>
        <v/>
      </c>
      <c r="H77" s="13" t="str">
        <f t="shared" si="3"/>
        <v/>
      </c>
      <c r="I77" s="14"/>
      <c r="J77" s="14"/>
    </row>
    <row r="78" spans="1:10" ht="22" customHeight="1">
      <c r="A78" s="6">
        <v>71</v>
      </c>
      <c r="B78" s="7" t="s">
        <v>16</v>
      </c>
      <c r="C78" s="8"/>
      <c r="D78" s="9" t="str">
        <f>IFERROR(VLOOKUP(B78&amp;"-"&amp;C78, '💾 學生體重資料庫'!$A:$I, 4, FALSE), "")</f>
        <v/>
      </c>
      <c r="E78" s="10" t="str">
        <f>IFERROR(VLOOKUP(B78&amp;"-"&amp;C78, '💾 學生體重資料庫'!$A:$I, 8, FALSE), "")</f>
        <v/>
      </c>
      <c r="F78" s="11"/>
      <c r="G78" s="12" t="str">
        <f t="shared" si="2"/>
        <v/>
      </c>
      <c r="H78" s="13" t="str">
        <f t="shared" si="3"/>
        <v/>
      </c>
      <c r="I78" s="14"/>
      <c r="J78" s="14"/>
    </row>
    <row r="79" spans="1:10" ht="22" customHeight="1">
      <c r="A79" s="15">
        <v>72</v>
      </c>
      <c r="B79" s="16" t="s">
        <v>16</v>
      </c>
      <c r="C79" s="8"/>
      <c r="D79" s="9" t="str">
        <f>IFERROR(VLOOKUP(B79&amp;"-"&amp;C79, '💾 學生體重資料庫'!$A:$I, 4, FALSE), "")</f>
        <v/>
      </c>
      <c r="E79" s="10" t="str">
        <f>IFERROR(VLOOKUP(B79&amp;"-"&amp;C79, '💾 學生體重資料庫'!$A:$I, 8, FALSE), "")</f>
        <v/>
      </c>
      <c r="F79" s="11"/>
      <c r="G79" s="12" t="str">
        <f t="shared" si="2"/>
        <v/>
      </c>
      <c r="H79" s="13" t="str">
        <f t="shared" si="3"/>
        <v/>
      </c>
      <c r="I79" s="14"/>
      <c r="J79" s="14"/>
    </row>
    <row r="80" spans="1:10" ht="22" customHeight="1">
      <c r="A80" s="6">
        <v>73</v>
      </c>
      <c r="B80" s="7" t="s">
        <v>16</v>
      </c>
      <c r="C80" s="8"/>
      <c r="D80" s="9" t="str">
        <f>IFERROR(VLOOKUP(B80&amp;"-"&amp;C80, '💾 學生體重資料庫'!$A:$I, 4, FALSE), "")</f>
        <v/>
      </c>
      <c r="E80" s="10" t="str">
        <f>IFERROR(VLOOKUP(B80&amp;"-"&amp;C80, '💾 學生體重資料庫'!$A:$I, 8, FALSE), "")</f>
        <v/>
      </c>
      <c r="F80" s="11"/>
      <c r="G80" s="12" t="str">
        <f t="shared" si="2"/>
        <v/>
      </c>
      <c r="H80" s="13" t="str">
        <f t="shared" si="3"/>
        <v/>
      </c>
      <c r="I80" s="14"/>
      <c r="J80" s="14"/>
    </row>
    <row r="81" spans="1:10" ht="22" customHeight="1">
      <c r="A81" s="15">
        <v>74</v>
      </c>
      <c r="B81" s="16" t="s">
        <v>16</v>
      </c>
      <c r="C81" s="8"/>
      <c r="D81" s="9" t="str">
        <f>IFERROR(VLOOKUP(B81&amp;"-"&amp;C81, '💾 學生體重資料庫'!$A:$I, 4, FALSE), "")</f>
        <v/>
      </c>
      <c r="E81" s="10" t="str">
        <f>IFERROR(VLOOKUP(B81&amp;"-"&amp;C81, '💾 學生體重資料庫'!$A:$I, 8, FALSE), "")</f>
        <v/>
      </c>
      <c r="F81" s="11"/>
      <c r="G81" s="12" t="str">
        <f t="shared" si="2"/>
        <v/>
      </c>
      <c r="H81" s="13" t="str">
        <f t="shared" si="3"/>
        <v/>
      </c>
      <c r="I81" s="14"/>
      <c r="J81" s="14"/>
    </row>
    <row r="82" spans="1:10" ht="22" customHeight="1">
      <c r="A82" s="6">
        <v>75</v>
      </c>
      <c r="B82" s="7" t="s">
        <v>16</v>
      </c>
      <c r="C82" s="8"/>
      <c r="D82" s="9" t="str">
        <f>IFERROR(VLOOKUP(B82&amp;"-"&amp;C82, '💾 學生體重資料庫'!$A:$I, 4, FALSE), "")</f>
        <v/>
      </c>
      <c r="E82" s="10" t="str">
        <f>IFERROR(VLOOKUP(B82&amp;"-"&amp;C82, '💾 學生體重資料庫'!$A:$I, 8, FALSE), "")</f>
        <v/>
      </c>
      <c r="F82" s="11"/>
      <c r="G82" s="12" t="str">
        <f t="shared" si="2"/>
        <v/>
      </c>
      <c r="H82" s="13" t="str">
        <f t="shared" si="3"/>
        <v/>
      </c>
      <c r="I82" s="14"/>
      <c r="J82" s="14"/>
    </row>
    <row r="83" spans="1:10" ht="22" customHeight="1">
      <c r="A83" s="15">
        <v>76</v>
      </c>
      <c r="B83" s="16" t="s">
        <v>16</v>
      </c>
      <c r="C83" s="8"/>
      <c r="D83" s="9" t="str">
        <f>IFERROR(VLOOKUP(B83&amp;"-"&amp;C83, '💾 學生體重資料庫'!$A:$I, 4, FALSE), "")</f>
        <v/>
      </c>
      <c r="E83" s="10" t="str">
        <f>IFERROR(VLOOKUP(B83&amp;"-"&amp;C83, '💾 學生體重資料庫'!$A:$I, 8, FALSE), "")</f>
        <v/>
      </c>
      <c r="F83" s="11"/>
      <c r="G83" s="12" t="str">
        <f t="shared" si="2"/>
        <v/>
      </c>
      <c r="H83" s="13" t="str">
        <f t="shared" si="3"/>
        <v/>
      </c>
      <c r="I83" s="14"/>
      <c r="J83" s="14"/>
    </row>
    <row r="84" spans="1:10" ht="22" customHeight="1">
      <c r="A84" s="6">
        <v>77</v>
      </c>
      <c r="B84" s="7" t="s">
        <v>16</v>
      </c>
      <c r="C84" s="8"/>
      <c r="D84" s="9" t="str">
        <f>IFERROR(VLOOKUP(B84&amp;"-"&amp;C84, '💾 學生體重資料庫'!$A:$I, 4, FALSE), "")</f>
        <v/>
      </c>
      <c r="E84" s="10" t="str">
        <f>IFERROR(VLOOKUP(B84&amp;"-"&amp;C84, '💾 學生體重資料庫'!$A:$I, 8, FALSE), "")</f>
        <v/>
      </c>
      <c r="F84" s="11"/>
      <c r="G84" s="12" t="str">
        <f t="shared" si="2"/>
        <v/>
      </c>
      <c r="H84" s="13" t="str">
        <f t="shared" si="3"/>
        <v/>
      </c>
      <c r="I84" s="14"/>
      <c r="J84" s="14"/>
    </row>
    <row r="85" spans="1:10" ht="22" customHeight="1">
      <c r="A85" s="15">
        <v>78</v>
      </c>
      <c r="B85" s="16" t="s">
        <v>17</v>
      </c>
      <c r="C85" s="8"/>
      <c r="D85" s="9" t="str">
        <f>IFERROR(VLOOKUP(B85&amp;"-"&amp;C85, '💾 學生體重資料庫'!$A:$I, 4, FALSE), "")</f>
        <v/>
      </c>
      <c r="E85" s="10" t="str">
        <f>IFERROR(VLOOKUP(B85&amp;"-"&amp;C85, '💾 學生體重資料庫'!$A:$I, 8, FALSE), "")</f>
        <v/>
      </c>
      <c r="F85" s="11"/>
      <c r="G85" s="12" t="str">
        <f t="shared" si="2"/>
        <v/>
      </c>
      <c r="H85" s="13" t="str">
        <f t="shared" si="3"/>
        <v/>
      </c>
      <c r="I85" s="14"/>
      <c r="J85" s="14"/>
    </row>
    <row r="86" spans="1:10" ht="22" customHeight="1">
      <c r="A86" s="6">
        <v>79</v>
      </c>
      <c r="B86" s="7" t="s">
        <v>17</v>
      </c>
      <c r="C86" s="8"/>
      <c r="D86" s="9" t="str">
        <f>IFERROR(VLOOKUP(B86&amp;"-"&amp;C86, '💾 學生體重資料庫'!$A:$I, 4, FALSE), "")</f>
        <v/>
      </c>
      <c r="E86" s="10" t="str">
        <f>IFERROR(VLOOKUP(B86&amp;"-"&amp;C86, '💾 學生體重資料庫'!$A:$I, 8, FALSE), "")</f>
        <v/>
      </c>
      <c r="F86" s="11"/>
      <c r="G86" s="12" t="str">
        <f t="shared" si="2"/>
        <v/>
      </c>
      <c r="H86" s="13" t="str">
        <f t="shared" si="3"/>
        <v/>
      </c>
      <c r="I86" s="14"/>
      <c r="J86" s="14"/>
    </row>
    <row r="87" spans="1:10" ht="22" customHeight="1">
      <c r="A87" s="15">
        <v>80</v>
      </c>
      <c r="B87" s="16" t="s">
        <v>17</v>
      </c>
      <c r="C87" s="8"/>
      <c r="D87" s="9" t="str">
        <f>IFERROR(VLOOKUP(B87&amp;"-"&amp;C87, '💾 學生體重資料庫'!$A:$I, 4, FALSE), "")</f>
        <v/>
      </c>
      <c r="E87" s="10" t="str">
        <f>IFERROR(VLOOKUP(B87&amp;"-"&amp;C87, '💾 學生體重資料庫'!$A:$I, 8, FALSE), "")</f>
        <v/>
      </c>
      <c r="F87" s="11"/>
      <c r="G87" s="12" t="str">
        <f t="shared" si="2"/>
        <v/>
      </c>
      <c r="H87" s="13" t="str">
        <f t="shared" si="3"/>
        <v/>
      </c>
      <c r="I87" s="14"/>
      <c r="J87" s="14"/>
    </row>
    <row r="88" spans="1:10" ht="22" customHeight="1">
      <c r="A88" s="6">
        <v>81</v>
      </c>
      <c r="B88" s="7" t="s">
        <v>17</v>
      </c>
      <c r="C88" s="8"/>
      <c r="D88" s="9" t="str">
        <f>IFERROR(VLOOKUP(B88&amp;"-"&amp;C88, '💾 學生體重資料庫'!$A:$I, 4, FALSE), "")</f>
        <v/>
      </c>
      <c r="E88" s="10" t="str">
        <f>IFERROR(VLOOKUP(B88&amp;"-"&amp;C88, '💾 學生體重資料庫'!$A:$I, 8, FALSE), "")</f>
        <v/>
      </c>
      <c r="F88" s="11"/>
      <c r="G88" s="12" t="str">
        <f t="shared" si="2"/>
        <v/>
      </c>
      <c r="H88" s="13" t="str">
        <f t="shared" si="3"/>
        <v/>
      </c>
      <c r="I88" s="14"/>
      <c r="J88" s="14"/>
    </row>
    <row r="89" spans="1:10" ht="22" customHeight="1">
      <c r="A89" s="15">
        <v>82</v>
      </c>
      <c r="B89" s="16" t="s">
        <v>17</v>
      </c>
      <c r="C89" s="8"/>
      <c r="D89" s="9" t="str">
        <f>IFERROR(VLOOKUP(B89&amp;"-"&amp;C89, '💾 學生體重資料庫'!$A:$I, 4, FALSE), "")</f>
        <v/>
      </c>
      <c r="E89" s="10" t="str">
        <f>IFERROR(VLOOKUP(B89&amp;"-"&amp;C89, '💾 學生體重資料庫'!$A:$I, 8, FALSE), "")</f>
        <v/>
      </c>
      <c r="F89" s="11"/>
      <c r="G89" s="12" t="str">
        <f t="shared" si="2"/>
        <v/>
      </c>
      <c r="H89" s="13" t="str">
        <f t="shared" si="3"/>
        <v/>
      </c>
      <c r="I89" s="14"/>
      <c r="J89" s="14"/>
    </row>
    <row r="90" spans="1:10" ht="22" customHeight="1">
      <c r="A90" s="6">
        <v>83</v>
      </c>
      <c r="B90" s="7" t="s">
        <v>17</v>
      </c>
      <c r="C90" s="8"/>
      <c r="D90" s="9" t="str">
        <f>IFERROR(VLOOKUP(B90&amp;"-"&amp;C90, '💾 學生體重資料庫'!$A:$I, 4, FALSE), "")</f>
        <v/>
      </c>
      <c r="E90" s="10" t="str">
        <f>IFERROR(VLOOKUP(B90&amp;"-"&amp;C90, '💾 學生體重資料庫'!$A:$I, 8, FALSE), "")</f>
        <v/>
      </c>
      <c r="F90" s="11"/>
      <c r="G90" s="12" t="str">
        <f t="shared" si="2"/>
        <v/>
      </c>
      <c r="H90" s="13" t="str">
        <f t="shared" si="3"/>
        <v/>
      </c>
      <c r="I90" s="14"/>
      <c r="J90" s="14"/>
    </row>
    <row r="91" spans="1:10" ht="22" customHeight="1">
      <c r="A91" s="15">
        <v>84</v>
      </c>
      <c r="B91" s="16" t="s">
        <v>17</v>
      </c>
      <c r="C91" s="8"/>
      <c r="D91" s="9" t="str">
        <f>IFERROR(VLOOKUP(B91&amp;"-"&amp;C91, '💾 學生體重資料庫'!$A:$I, 4, FALSE), "")</f>
        <v/>
      </c>
      <c r="E91" s="10" t="str">
        <f>IFERROR(VLOOKUP(B91&amp;"-"&amp;C91, '💾 學生體重資料庫'!$A:$I, 8, FALSE), "")</f>
        <v/>
      </c>
      <c r="F91" s="11"/>
      <c r="G91" s="12" t="str">
        <f t="shared" si="2"/>
        <v/>
      </c>
      <c r="H91" s="13" t="str">
        <f t="shared" si="3"/>
        <v/>
      </c>
      <c r="I91" s="14"/>
      <c r="J91" s="14"/>
    </row>
    <row r="92" spans="1:10" ht="22" customHeight="1">
      <c r="A92" s="6">
        <v>85</v>
      </c>
      <c r="B92" s="7" t="s">
        <v>17</v>
      </c>
      <c r="C92" s="8"/>
      <c r="D92" s="9" t="str">
        <f>IFERROR(VLOOKUP(B92&amp;"-"&amp;C92, '💾 學生體重資料庫'!$A:$I, 4, FALSE), "")</f>
        <v/>
      </c>
      <c r="E92" s="10" t="str">
        <f>IFERROR(VLOOKUP(B92&amp;"-"&amp;C92, '💾 學生體重資料庫'!$A:$I, 8, FALSE), "")</f>
        <v/>
      </c>
      <c r="F92" s="11"/>
      <c r="G92" s="12" t="str">
        <f t="shared" si="2"/>
        <v/>
      </c>
      <c r="H92" s="13" t="str">
        <f t="shared" si="3"/>
        <v/>
      </c>
      <c r="I92" s="14"/>
      <c r="J92" s="14"/>
    </row>
    <row r="93" spans="1:10" ht="22" customHeight="1">
      <c r="A93" s="15">
        <v>86</v>
      </c>
      <c r="B93" s="16" t="s">
        <v>17</v>
      </c>
      <c r="C93" s="8"/>
      <c r="D93" s="9" t="str">
        <f>IFERROR(VLOOKUP(B93&amp;"-"&amp;C93, '💾 學生體重資料庫'!$A:$I, 4, FALSE), "")</f>
        <v/>
      </c>
      <c r="E93" s="10" t="str">
        <f>IFERROR(VLOOKUP(B93&amp;"-"&amp;C93, '💾 學生體重資料庫'!$A:$I, 8, FALSE), "")</f>
        <v/>
      </c>
      <c r="F93" s="11"/>
      <c r="G93" s="12" t="str">
        <f t="shared" si="2"/>
        <v/>
      </c>
      <c r="H93" s="13" t="str">
        <f t="shared" si="3"/>
        <v/>
      </c>
      <c r="I93" s="14"/>
      <c r="J93" s="14"/>
    </row>
    <row r="94" spans="1:10" ht="22" customHeight="1">
      <c r="A94" s="6">
        <v>87</v>
      </c>
      <c r="B94" s="7" t="s">
        <v>17</v>
      </c>
      <c r="C94" s="8"/>
      <c r="D94" s="9" t="str">
        <f>IFERROR(VLOOKUP(B94&amp;"-"&amp;C94, '💾 學生體重資料庫'!$A:$I, 4, FALSE), "")</f>
        <v/>
      </c>
      <c r="E94" s="10" t="str">
        <f>IFERROR(VLOOKUP(B94&amp;"-"&amp;C94, '💾 學生體重資料庫'!$A:$I, 8, FALSE), "")</f>
        <v/>
      </c>
      <c r="F94" s="11"/>
      <c r="G94" s="12" t="str">
        <f t="shared" si="2"/>
        <v/>
      </c>
      <c r="H94" s="13" t="str">
        <f t="shared" si="3"/>
        <v/>
      </c>
      <c r="I94" s="14"/>
      <c r="J94" s="14"/>
    </row>
    <row r="95" spans="1:10" ht="22" customHeight="1">
      <c r="A95" s="15">
        <v>88</v>
      </c>
      <c r="B95" s="16" t="s">
        <v>17</v>
      </c>
      <c r="C95" s="8"/>
      <c r="D95" s="9" t="str">
        <f>IFERROR(VLOOKUP(B95&amp;"-"&amp;C95, '💾 學生體重資料庫'!$A:$I, 4, FALSE), "")</f>
        <v/>
      </c>
      <c r="E95" s="10" t="str">
        <f>IFERROR(VLOOKUP(B95&amp;"-"&amp;C95, '💾 學生體重資料庫'!$A:$I, 8, FALSE), "")</f>
        <v/>
      </c>
      <c r="F95" s="11"/>
      <c r="G95" s="12" t="str">
        <f t="shared" si="2"/>
        <v/>
      </c>
      <c r="H95" s="13" t="str">
        <f t="shared" si="3"/>
        <v/>
      </c>
      <c r="I95" s="14"/>
      <c r="J95" s="14"/>
    </row>
    <row r="96" spans="1:10" ht="22" customHeight="1">
      <c r="A96" s="6">
        <v>89</v>
      </c>
      <c r="B96" s="7" t="s">
        <v>18</v>
      </c>
      <c r="C96" s="8"/>
      <c r="D96" s="9" t="str">
        <f>IFERROR(VLOOKUP(B96&amp;"-"&amp;C96, '💾 學生體重資料庫'!$A:$I, 4, FALSE), "")</f>
        <v/>
      </c>
      <c r="E96" s="10" t="str">
        <f>IFERROR(VLOOKUP(B96&amp;"-"&amp;C96, '💾 學生體重資料庫'!$A:$I, 8, FALSE), "")</f>
        <v/>
      </c>
      <c r="F96" s="11"/>
      <c r="G96" s="12" t="str">
        <f t="shared" si="2"/>
        <v/>
      </c>
      <c r="H96" s="13" t="str">
        <f t="shared" si="3"/>
        <v/>
      </c>
      <c r="I96" s="14"/>
      <c r="J96" s="14"/>
    </row>
    <row r="97" spans="1:10" ht="22" customHeight="1">
      <c r="A97" s="15">
        <v>90</v>
      </c>
      <c r="B97" s="16" t="s">
        <v>18</v>
      </c>
      <c r="C97" s="8"/>
      <c r="D97" s="9" t="str">
        <f>IFERROR(VLOOKUP(B97&amp;"-"&amp;C97, '💾 學生體重資料庫'!$A:$I, 4, FALSE), "")</f>
        <v/>
      </c>
      <c r="E97" s="10" t="str">
        <f>IFERROR(VLOOKUP(B97&amp;"-"&amp;C97, '💾 學生體重資料庫'!$A:$I, 8, FALSE), "")</f>
        <v/>
      </c>
      <c r="F97" s="11"/>
      <c r="G97" s="12" t="str">
        <f t="shared" si="2"/>
        <v/>
      </c>
      <c r="H97" s="13" t="str">
        <f t="shared" si="3"/>
        <v/>
      </c>
      <c r="I97" s="14"/>
      <c r="J97" s="14"/>
    </row>
    <row r="98" spans="1:10" ht="22" customHeight="1">
      <c r="A98" s="6">
        <v>91</v>
      </c>
      <c r="B98" s="7" t="s">
        <v>18</v>
      </c>
      <c r="C98" s="8"/>
      <c r="D98" s="9" t="str">
        <f>IFERROR(VLOOKUP(B98&amp;"-"&amp;C98, '💾 學生體重資料庫'!$A:$I, 4, FALSE), "")</f>
        <v/>
      </c>
      <c r="E98" s="10" t="str">
        <f>IFERROR(VLOOKUP(B98&amp;"-"&amp;C98, '💾 學生體重資料庫'!$A:$I, 8, FALSE), "")</f>
        <v/>
      </c>
      <c r="F98" s="11"/>
      <c r="G98" s="12" t="str">
        <f t="shared" si="2"/>
        <v/>
      </c>
      <c r="H98" s="13" t="str">
        <f t="shared" si="3"/>
        <v/>
      </c>
      <c r="I98" s="14"/>
      <c r="J98" s="14"/>
    </row>
    <row r="99" spans="1:10" ht="22" customHeight="1">
      <c r="A99" s="15">
        <v>92</v>
      </c>
      <c r="B99" s="16" t="s">
        <v>18</v>
      </c>
      <c r="C99" s="8"/>
      <c r="D99" s="9" t="str">
        <f>IFERROR(VLOOKUP(B99&amp;"-"&amp;C99, '💾 學生體重資料庫'!$A:$I, 4, FALSE), "")</f>
        <v/>
      </c>
      <c r="E99" s="10" t="str">
        <f>IFERROR(VLOOKUP(B99&amp;"-"&amp;C99, '💾 學生體重資料庫'!$A:$I, 8, FALSE), "")</f>
        <v/>
      </c>
      <c r="F99" s="11"/>
      <c r="G99" s="12" t="str">
        <f t="shared" si="2"/>
        <v/>
      </c>
      <c r="H99" s="13" t="str">
        <f t="shared" si="3"/>
        <v/>
      </c>
      <c r="I99" s="14"/>
      <c r="J99" s="14"/>
    </row>
    <row r="100" spans="1:10" ht="22" customHeight="1">
      <c r="A100" s="6">
        <v>93</v>
      </c>
      <c r="B100" s="7" t="s">
        <v>18</v>
      </c>
      <c r="C100" s="8"/>
      <c r="D100" s="9" t="str">
        <f>IFERROR(VLOOKUP(B100&amp;"-"&amp;C100, '💾 學生體重資料庫'!$A:$I, 4, FALSE), "")</f>
        <v/>
      </c>
      <c r="E100" s="10" t="str">
        <f>IFERROR(VLOOKUP(B100&amp;"-"&amp;C100, '💾 學生體重資料庫'!$A:$I, 8, FALSE), "")</f>
        <v/>
      </c>
      <c r="F100" s="11"/>
      <c r="G100" s="12" t="str">
        <f t="shared" si="2"/>
        <v/>
      </c>
      <c r="H100" s="13" t="str">
        <f t="shared" si="3"/>
        <v/>
      </c>
      <c r="I100" s="14"/>
      <c r="J100" s="14"/>
    </row>
    <row r="101" spans="1:10" ht="22" customHeight="1">
      <c r="A101" s="15">
        <v>94</v>
      </c>
      <c r="B101" s="16" t="s">
        <v>18</v>
      </c>
      <c r="C101" s="8"/>
      <c r="D101" s="9" t="str">
        <f>IFERROR(VLOOKUP(B101&amp;"-"&amp;C101, '💾 學生體重資料庫'!$A:$I, 4, FALSE), "")</f>
        <v/>
      </c>
      <c r="E101" s="10" t="str">
        <f>IFERROR(VLOOKUP(B101&amp;"-"&amp;C101, '💾 學生體重資料庫'!$A:$I, 8, FALSE), "")</f>
        <v/>
      </c>
      <c r="F101" s="11"/>
      <c r="G101" s="12" t="str">
        <f t="shared" si="2"/>
        <v/>
      </c>
      <c r="H101" s="13" t="str">
        <f t="shared" si="3"/>
        <v/>
      </c>
      <c r="I101" s="14"/>
      <c r="J101" s="14"/>
    </row>
    <row r="102" spans="1:10" ht="22" customHeight="1">
      <c r="A102" s="6">
        <v>95</v>
      </c>
      <c r="B102" s="7" t="s">
        <v>18</v>
      </c>
      <c r="C102" s="8"/>
      <c r="D102" s="9" t="str">
        <f>IFERROR(VLOOKUP(B102&amp;"-"&amp;C102, '💾 學生體重資料庫'!$A:$I, 4, FALSE), "")</f>
        <v/>
      </c>
      <c r="E102" s="10" t="str">
        <f>IFERROR(VLOOKUP(B102&amp;"-"&amp;C102, '💾 學生體重資料庫'!$A:$I, 8, FALSE), "")</f>
        <v/>
      </c>
      <c r="F102" s="11"/>
      <c r="G102" s="12" t="str">
        <f t="shared" si="2"/>
        <v/>
      </c>
      <c r="H102" s="13" t="str">
        <f t="shared" si="3"/>
        <v/>
      </c>
      <c r="I102" s="14"/>
      <c r="J102" s="14"/>
    </row>
    <row r="103" spans="1:10" ht="22" customHeight="1">
      <c r="A103" s="15">
        <v>96</v>
      </c>
      <c r="B103" s="16" t="s">
        <v>18</v>
      </c>
      <c r="C103" s="8"/>
      <c r="D103" s="9" t="str">
        <f>IFERROR(VLOOKUP(B103&amp;"-"&amp;C103, '💾 學生體重資料庫'!$A:$I, 4, FALSE), "")</f>
        <v/>
      </c>
      <c r="E103" s="10" t="str">
        <f>IFERROR(VLOOKUP(B103&amp;"-"&amp;C103, '💾 學生體重資料庫'!$A:$I, 8, FALSE), "")</f>
        <v/>
      </c>
      <c r="F103" s="11"/>
      <c r="G103" s="12" t="str">
        <f t="shared" si="2"/>
        <v/>
      </c>
      <c r="H103" s="13" t="str">
        <f t="shared" si="3"/>
        <v/>
      </c>
      <c r="I103" s="14"/>
      <c r="J103" s="14"/>
    </row>
    <row r="104" spans="1:10" ht="22" customHeight="1">
      <c r="A104" s="6">
        <v>97</v>
      </c>
      <c r="B104" s="7" t="s">
        <v>18</v>
      </c>
      <c r="C104" s="8"/>
      <c r="D104" s="9" t="str">
        <f>IFERROR(VLOOKUP(B104&amp;"-"&amp;C104, '💾 學生體重資料庫'!$A:$I, 4, FALSE), "")</f>
        <v/>
      </c>
      <c r="E104" s="10" t="str">
        <f>IFERROR(VLOOKUP(B104&amp;"-"&amp;C104, '💾 學生體重資料庫'!$A:$I, 8, FALSE), "")</f>
        <v/>
      </c>
      <c r="F104" s="11"/>
      <c r="G104" s="12" t="str">
        <f t="shared" si="2"/>
        <v/>
      </c>
      <c r="H104" s="13" t="str">
        <f t="shared" si="3"/>
        <v/>
      </c>
      <c r="I104" s="14"/>
      <c r="J104" s="14"/>
    </row>
    <row r="105" spans="1:10" ht="22" customHeight="1">
      <c r="A105" s="15">
        <v>98</v>
      </c>
      <c r="B105" s="16" t="s">
        <v>18</v>
      </c>
      <c r="C105" s="8"/>
      <c r="D105" s="9" t="str">
        <f>IFERROR(VLOOKUP(B105&amp;"-"&amp;C105, '💾 學生體重資料庫'!$A:$I, 4, FALSE), "")</f>
        <v/>
      </c>
      <c r="E105" s="10" t="str">
        <f>IFERROR(VLOOKUP(B105&amp;"-"&amp;C105, '💾 學生體重資料庫'!$A:$I, 8, FALSE), "")</f>
        <v/>
      </c>
      <c r="F105" s="11"/>
      <c r="G105" s="12" t="str">
        <f t="shared" si="2"/>
        <v/>
      </c>
      <c r="H105" s="13" t="str">
        <f t="shared" si="3"/>
        <v/>
      </c>
      <c r="I105" s="14"/>
      <c r="J105" s="14"/>
    </row>
    <row r="106" spans="1:10" ht="22" customHeight="1">
      <c r="A106" s="6">
        <v>99</v>
      </c>
      <c r="B106" s="7" t="s">
        <v>18</v>
      </c>
      <c r="C106" s="8"/>
      <c r="D106" s="9" t="str">
        <f>IFERROR(VLOOKUP(B106&amp;"-"&amp;C106, '💾 學生體重資料庫'!$A:$I, 4, FALSE), "")</f>
        <v/>
      </c>
      <c r="E106" s="10" t="str">
        <f>IFERROR(VLOOKUP(B106&amp;"-"&amp;C106, '💾 學生體重資料庫'!$A:$I, 8, FALSE), "")</f>
        <v/>
      </c>
      <c r="F106" s="11"/>
      <c r="G106" s="12" t="str">
        <f t="shared" si="2"/>
        <v/>
      </c>
      <c r="H106" s="13" t="str">
        <f t="shared" si="3"/>
        <v/>
      </c>
      <c r="I106" s="14"/>
      <c r="J106" s="14"/>
    </row>
    <row r="107" spans="1:10" ht="22" customHeight="1">
      <c r="A107" s="15">
        <v>100</v>
      </c>
      <c r="B107" s="16" t="s">
        <v>19</v>
      </c>
      <c r="C107" s="8"/>
      <c r="D107" s="9" t="str">
        <f>IFERROR(VLOOKUP(B107&amp;"-"&amp;C107, '💾 學生體重資料庫'!$A:$I, 4, FALSE), "")</f>
        <v/>
      </c>
      <c r="E107" s="10" t="str">
        <f>IFERROR(VLOOKUP(B107&amp;"-"&amp;C107, '💾 學生體重資料庫'!$A:$I, 8, FALSE), "")</f>
        <v/>
      </c>
      <c r="F107" s="11"/>
      <c r="G107" s="12" t="str">
        <f t="shared" si="2"/>
        <v/>
      </c>
      <c r="H107" s="13" t="str">
        <f t="shared" si="3"/>
        <v/>
      </c>
      <c r="I107" s="14"/>
      <c r="J107" s="14"/>
    </row>
    <row r="108" spans="1:10" ht="22" customHeight="1">
      <c r="A108" s="6">
        <v>101</v>
      </c>
      <c r="B108" s="7" t="s">
        <v>19</v>
      </c>
      <c r="C108" s="8"/>
      <c r="D108" s="9" t="str">
        <f>IFERROR(VLOOKUP(B108&amp;"-"&amp;C108, '💾 學生體重資料庫'!$A:$I, 4, FALSE), "")</f>
        <v/>
      </c>
      <c r="E108" s="10" t="str">
        <f>IFERROR(VLOOKUP(B108&amp;"-"&amp;C108, '💾 學生體重資料庫'!$A:$I, 8, FALSE), "")</f>
        <v/>
      </c>
      <c r="F108" s="11"/>
      <c r="G108" s="12" t="str">
        <f t="shared" si="2"/>
        <v/>
      </c>
      <c r="H108" s="13" t="str">
        <f t="shared" si="3"/>
        <v/>
      </c>
      <c r="I108" s="14"/>
      <c r="J108" s="14"/>
    </row>
    <row r="109" spans="1:10" ht="22" customHeight="1">
      <c r="A109" s="15">
        <v>102</v>
      </c>
      <c r="B109" s="16" t="s">
        <v>19</v>
      </c>
      <c r="C109" s="8"/>
      <c r="D109" s="9" t="str">
        <f>IFERROR(VLOOKUP(B109&amp;"-"&amp;C109, '💾 學生體重資料庫'!$A:$I, 4, FALSE), "")</f>
        <v/>
      </c>
      <c r="E109" s="10" t="str">
        <f>IFERROR(VLOOKUP(B109&amp;"-"&amp;C109, '💾 學生體重資料庫'!$A:$I, 8, FALSE), "")</f>
        <v/>
      </c>
      <c r="F109" s="11"/>
      <c r="G109" s="12" t="str">
        <f t="shared" si="2"/>
        <v/>
      </c>
      <c r="H109" s="13" t="str">
        <f t="shared" si="3"/>
        <v/>
      </c>
      <c r="I109" s="14"/>
      <c r="J109" s="14"/>
    </row>
    <row r="110" spans="1:10" ht="22" customHeight="1">
      <c r="A110" s="6">
        <v>103</v>
      </c>
      <c r="B110" s="7" t="s">
        <v>19</v>
      </c>
      <c r="C110" s="8"/>
      <c r="D110" s="9" t="str">
        <f>IFERROR(VLOOKUP(B110&amp;"-"&amp;C110, '💾 學生體重資料庫'!$A:$I, 4, FALSE), "")</f>
        <v/>
      </c>
      <c r="E110" s="10" t="str">
        <f>IFERROR(VLOOKUP(B110&amp;"-"&amp;C110, '💾 學生體重資料庫'!$A:$I, 8, FALSE), "")</f>
        <v/>
      </c>
      <c r="F110" s="11"/>
      <c r="G110" s="12" t="str">
        <f t="shared" si="2"/>
        <v/>
      </c>
      <c r="H110" s="13" t="str">
        <f t="shared" si="3"/>
        <v/>
      </c>
      <c r="I110" s="14"/>
      <c r="J110" s="14"/>
    </row>
    <row r="111" spans="1:10" ht="22" customHeight="1">
      <c r="A111" s="15">
        <v>104</v>
      </c>
      <c r="B111" s="16" t="s">
        <v>19</v>
      </c>
      <c r="C111" s="8"/>
      <c r="D111" s="9" t="str">
        <f>IFERROR(VLOOKUP(B111&amp;"-"&amp;C111, '💾 學生體重資料庫'!$A:$I, 4, FALSE), "")</f>
        <v/>
      </c>
      <c r="E111" s="10" t="str">
        <f>IFERROR(VLOOKUP(B111&amp;"-"&amp;C111, '💾 學生體重資料庫'!$A:$I, 8, FALSE), "")</f>
        <v/>
      </c>
      <c r="F111" s="11"/>
      <c r="G111" s="12" t="str">
        <f t="shared" si="2"/>
        <v/>
      </c>
      <c r="H111" s="13" t="str">
        <f t="shared" si="3"/>
        <v/>
      </c>
      <c r="I111" s="14"/>
      <c r="J111" s="14"/>
    </row>
    <row r="112" spans="1:10" ht="22" customHeight="1">
      <c r="A112" s="6">
        <v>105</v>
      </c>
      <c r="B112" s="7" t="s">
        <v>19</v>
      </c>
      <c r="C112" s="8"/>
      <c r="D112" s="9" t="str">
        <f>IFERROR(VLOOKUP(B112&amp;"-"&amp;C112, '💾 學生體重資料庫'!$A:$I, 4, FALSE), "")</f>
        <v/>
      </c>
      <c r="E112" s="10" t="str">
        <f>IFERROR(VLOOKUP(B112&amp;"-"&amp;C112, '💾 學生體重資料庫'!$A:$I, 8, FALSE), "")</f>
        <v/>
      </c>
      <c r="F112" s="11"/>
      <c r="G112" s="12" t="str">
        <f t="shared" si="2"/>
        <v/>
      </c>
      <c r="H112" s="13" t="str">
        <f t="shared" si="3"/>
        <v/>
      </c>
      <c r="I112" s="14"/>
      <c r="J112" s="14"/>
    </row>
    <row r="113" spans="1:10" ht="22" customHeight="1">
      <c r="A113" s="15">
        <v>106</v>
      </c>
      <c r="B113" s="16" t="s">
        <v>19</v>
      </c>
      <c r="C113" s="8"/>
      <c r="D113" s="9" t="str">
        <f>IFERROR(VLOOKUP(B113&amp;"-"&amp;C113, '💾 學生體重資料庫'!$A:$I, 4, FALSE), "")</f>
        <v/>
      </c>
      <c r="E113" s="10" t="str">
        <f>IFERROR(VLOOKUP(B113&amp;"-"&amp;C113, '💾 學生體重資料庫'!$A:$I, 8, FALSE), "")</f>
        <v/>
      </c>
      <c r="F113" s="11"/>
      <c r="G113" s="12" t="str">
        <f t="shared" si="2"/>
        <v/>
      </c>
      <c r="H113" s="13" t="str">
        <f t="shared" si="3"/>
        <v/>
      </c>
      <c r="I113" s="14"/>
      <c r="J113" s="14"/>
    </row>
    <row r="114" spans="1:10" ht="22" customHeight="1">
      <c r="A114" s="6">
        <v>107</v>
      </c>
      <c r="B114" s="7" t="s">
        <v>19</v>
      </c>
      <c r="C114" s="8"/>
      <c r="D114" s="9" t="str">
        <f>IFERROR(VLOOKUP(B114&amp;"-"&amp;C114, '💾 學生體重資料庫'!$A:$I, 4, FALSE), "")</f>
        <v/>
      </c>
      <c r="E114" s="10" t="str">
        <f>IFERROR(VLOOKUP(B114&amp;"-"&amp;C114, '💾 學生體重資料庫'!$A:$I, 8, FALSE), "")</f>
        <v/>
      </c>
      <c r="F114" s="11"/>
      <c r="G114" s="12" t="str">
        <f t="shared" si="2"/>
        <v/>
      </c>
      <c r="H114" s="13" t="str">
        <f t="shared" si="3"/>
        <v/>
      </c>
      <c r="I114" s="14"/>
      <c r="J114" s="14"/>
    </row>
    <row r="115" spans="1:10" ht="22" customHeight="1">
      <c r="A115" s="15">
        <v>108</v>
      </c>
      <c r="B115" s="16" t="s">
        <v>19</v>
      </c>
      <c r="C115" s="8"/>
      <c r="D115" s="9" t="str">
        <f>IFERROR(VLOOKUP(B115&amp;"-"&amp;C115, '💾 學生體重資料庫'!$A:$I, 4, FALSE), "")</f>
        <v/>
      </c>
      <c r="E115" s="10" t="str">
        <f>IFERROR(VLOOKUP(B115&amp;"-"&amp;C115, '💾 學生體重資料庫'!$A:$I, 8, FALSE), "")</f>
        <v/>
      </c>
      <c r="F115" s="11"/>
      <c r="G115" s="12" t="str">
        <f t="shared" si="2"/>
        <v/>
      </c>
      <c r="H115" s="13" t="str">
        <f t="shared" si="3"/>
        <v/>
      </c>
      <c r="I115" s="14"/>
      <c r="J115" s="14"/>
    </row>
    <row r="116" spans="1:10" ht="22" customHeight="1">
      <c r="A116" s="6">
        <v>109</v>
      </c>
      <c r="B116" s="7" t="s">
        <v>19</v>
      </c>
      <c r="C116" s="8"/>
      <c r="D116" s="9" t="str">
        <f>IFERROR(VLOOKUP(B116&amp;"-"&amp;C116, '💾 學生體重資料庫'!$A:$I, 4, FALSE), "")</f>
        <v/>
      </c>
      <c r="E116" s="10" t="str">
        <f>IFERROR(VLOOKUP(B116&amp;"-"&amp;C116, '💾 學生體重資料庫'!$A:$I, 8, FALSE), "")</f>
        <v/>
      </c>
      <c r="F116" s="11"/>
      <c r="G116" s="12" t="str">
        <f t="shared" si="2"/>
        <v/>
      </c>
      <c r="H116" s="13" t="str">
        <f t="shared" si="3"/>
        <v/>
      </c>
      <c r="I116" s="14"/>
      <c r="J116" s="14"/>
    </row>
    <row r="117" spans="1:10" ht="22" customHeight="1">
      <c r="A117" s="15">
        <v>110</v>
      </c>
      <c r="B117" s="16" t="s">
        <v>19</v>
      </c>
      <c r="C117" s="8"/>
      <c r="D117" s="9" t="str">
        <f>IFERROR(VLOOKUP(B117&amp;"-"&amp;C117, '💾 學生體重資料庫'!$A:$I, 4, FALSE), "")</f>
        <v/>
      </c>
      <c r="E117" s="10" t="str">
        <f>IFERROR(VLOOKUP(B117&amp;"-"&amp;C117, '💾 學生體重資料庫'!$A:$I, 8, FALSE), "")</f>
        <v/>
      </c>
      <c r="F117" s="11"/>
      <c r="G117" s="12" t="str">
        <f t="shared" si="2"/>
        <v/>
      </c>
      <c r="H117" s="13" t="str">
        <f t="shared" si="3"/>
        <v/>
      </c>
      <c r="I117" s="14"/>
      <c r="J117" s="14"/>
    </row>
    <row r="118" spans="1:10" ht="22" customHeight="1">
      <c r="A118" s="6">
        <v>111</v>
      </c>
      <c r="B118" s="7" t="s">
        <v>20</v>
      </c>
      <c r="C118" s="8"/>
      <c r="D118" s="9" t="str">
        <f>IFERROR(VLOOKUP(B118&amp;"-"&amp;C118, '💾 學生體重資料庫'!$A:$I, 4, FALSE), "")</f>
        <v/>
      </c>
      <c r="E118" s="10" t="str">
        <f>IFERROR(VLOOKUP(B118&amp;"-"&amp;C118, '💾 學生體重資料庫'!$A:$I, 8, FALSE), "")</f>
        <v/>
      </c>
      <c r="F118" s="11"/>
      <c r="G118" s="12" t="str">
        <f t="shared" si="2"/>
        <v/>
      </c>
      <c r="H118" s="13" t="str">
        <f t="shared" si="3"/>
        <v/>
      </c>
      <c r="I118" s="14"/>
      <c r="J118" s="14"/>
    </row>
    <row r="119" spans="1:10" ht="22" customHeight="1">
      <c r="A119" s="15">
        <v>112</v>
      </c>
      <c r="B119" s="16" t="s">
        <v>20</v>
      </c>
      <c r="C119" s="8"/>
      <c r="D119" s="9" t="str">
        <f>IFERROR(VLOOKUP(B119&amp;"-"&amp;C119, '💾 學生體重資料庫'!$A:$I, 4, FALSE), "")</f>
        <v/>
      </c>
      <c r="E119" s="10" t="str">
        <f>IFERROR(VLOOKUP(B119&amp;"-"&amp;C119, '💾 學生體重資料庫'!$A:$I, 8, FALSE), "")</f>
        <v/>
      </c>
      <c r="F119" s="11"/>
      <c r="G119" s="12" t="str">
        <f t="shared" si="2"/>
        <v/>
      </c>
      <c r="H119" s="13" t="str">
        <f t="shared" si="3"/>
        <v/>
      </c>
      <c r="I119" s="14"/>
      <c r="J119" s="14"/>
    </row>
    <row r="120" spans="1:10" ht="22" customHeight="1">
      <c r="A120" s="6">
        <v>113</v>
      </c>
      <c r="B120" s="7" t="s">
        <v>20</v>
      </c>
      <c r="C120" s="8"/>
      <c r="D120" s="9" t="str">
        <f>IFERROR(VLOOKUP(B120&amp;"-"&amp;C120, '💾 學生體重資料庫'!$A:$I, 4, FALSE), "")</f>
        <v/>
      </c>
      <c r="E120" s="10" t="str">
        <f>IFERROR(VLOOKUP(B120&amp;"-"&amp;C120, '💾 學生體重資料庫'!$A:$I, 8, FALSE), "")</f>
        <v/>
      </c>
      <c r="F120" s="11"/>
      <c r="G120" s="12" t="str">
        <f t="shared" si="2"/>
        <v/>
      </c>
      <c r="H120" s="13" t="str">
        <f t="shared" si="3"/>
        <v/>
      </c>
      <c r="I120" s="14"/>
      <c r="J120" s="14"/>
    </row>
    <row r="121" spans="1:10" ht="22" customHeight="1">
      <c r="A121" s="15">
        <v>114</v>
      </c>
      <c r="B121" s="16" t="s">
        <v>20</v>
      </c>
      <c r="C121" s="8"/>
      <c r="D121" s="9" t="str">
        <f>IFERROR(VLOOKUP(B121&amp;"-"&amp;C121, '💾 學生體重資料庫'!$A:$I, 4, FALSE), "")</f>
        <v/>
      </c>
      <c r="E121" s="10" t="str">
        <f>IFERROR(VLOOKUP(B121&amp;"-"&amp;C121, '💾 學生體重資料庫'!$A:$I, 8, FALSE), "")</f>
        <v/>
      </c>
      <c r="F121" s="11"/>
      <c r="G121" s="12" t="str">
        <f t="shared" si="2"/>
        <v/>
      </c>
      <c r="H121" s="13" t="str">
        <f t="shared" si="3"/>
        <v/>
      </c>
      <c r="I121" s="14"/>
      <c r="J121" s="14"/>
    </row>
    <row r="122" spans="1:10" ht="22" customHeight="1">
      <c r="A122" s="6">
        <v>115</v>
      </c>
      <c r="B122" s="7" t="s">
        <v>20</v>
      </c>
      <c r="C122" s="8"/>
      <c r="D122" s="9" t="str">
        <f>IFERROR(VLOOKUP(B122&amp;"-"&amp;C122, '💾 學生體重資料庫'!$A:$I, 4, FALSE), "")</f>
        <v/>
      </c>
      <c r="E122" s="10" t="str">
        <f>IFERROR(VLOOKUP(B122&amp;"-"&amp;C122, '💾 學生體重資料庫'!$A:$I, 8, FALSE), "")</f>
        <v/>
      </c>
      <c r="F122" s="11"/>
      <c r="G122" s="12" t="str">
        <f t="shared" si="2"/>
        <v/>
      </c>
      <c r="H122" s="13" t="str">
        <f t="shared" si="3"/>
        <v/>
      </c>
      <c r="I122" s="14"/>
      <c r="J122" s="14"/>
    </row>
    <row r="123" spans="1:10" ht="22" customHeight="1">
      <c r="A123" s="15">
        <v>116</v>
      </c>
      <c r="B123" s="16" t="s">
        <v>20</v>
      </c>
      <c r="C123" s="8"/>
      <c r="D123" s="9" t="str">
        <f>IFERROR(VLOOKUP(B123&amp;"-"&amp;C123, '💾 學生體重資料庫'!$A:$I, 4, FALSE), "")</f>
        <v/>
      </c>
      <c r="E123" s="10" t="str">
        <f>IFERROR(VLOOKUP(B123&amp;"-"&amp;C123, '💾 學生體重資料庫'!$A:$I, 8, FALSE), "")</f>
        <v/>
      </c>
      <c r="F123" s="11"/>
      <c r="G123" s="12" t="str">
        <f t="shared" si="2"/>
        <v/>
      </c>
      <c r="H123" s="13" t="str">
        <f t="shared" si="3"/>
        <v/>
      </c>
      <c r="I123" s="14"/>
      <c r="J123" s="14"/>
    </row>
    <row r="124" spans="1:10" ht="22" customHeight="1">
      <c r="A124" s="6">
        <v>117</v>
      </c>
      <c r="B124" s="7" t="s">
        <v>20</v>
      </c>
      <c r="C124" s="8"/>
      <c r="D124" s="9" t="str">
        <f>IFERROR(VLOOKUP(B124&amp;"-"&amp;C124, '💾 學生體重資料庫'!$A:$I, 4, FALSE), "")</f>
        <v/>
      </c>
      <c r="E124" s="10" t="str">
        <f>IFERROR(VLOOKUP(B124&amp;"-"&amp;C124, '💾 學生體重資料庫'!$A:$I, 8, FALSE), "")</f>
        <v/>
      </c>
      <c r="F124" s="11"/>
      <c r="G124" s="12" t="str">
        <f t="shared" si="2"/>
        <v/>
      </c>
      <c r="H124" s="13" t="str">
        <f t="shared" si="3"/>
        <v/>
      </c>
      <c r="I124" s="14"/>
      <c r="J124" s="14"/>
    </row>
    <row r="125" spans="1:10" ht="22" customHeight="1">
      <c r="A125" s="15">
        <v>118</v>
      </c>
      <c r="B125" s="16" t="s">
        <v>20</v>
      </c>
      <c r="C125" s="8"/>
      <c r="D125" s="9" t="str">
        <f>IFERROR(VLOOKUP(B125&amp;"-"&amp;C125, '💾 學生體重資料庫'!$A:$I, 4, FALSE), "")</f>
        <v/>
      </c>
      <c r="E125" s="10" t="str">
        <f>IFERROR(VLOOKUP(B125&amp;"-"&amp;C125, '💾 學生體重資料庫'!$A:$I, 8, FALSE), "")</f>
        <v/>
      </c>
      <c r="F125" s="11"/>
      <c r="G125" s="12" t="str">
        <f t="shared" si="2"/>
        <v/>
      </c>
      <c r="H125" s="13" t="str">
        <f t="shared" si="3"/>
        <v/>
      </c>
      <c r="I125" s="14"/>
      <c r="J125" s="14"/>
    </row>
    <row r="126" spans="1:10" ht="22" customHeight="1">
      <c r="A126" s="6">
        <v>119</v>
      </c>
      <c r="B126" s="7" t="s">
        <v>20</v>
      </c>
      <c r="C126" s="8"/>
      <c r="D126" s="9" t="str">
        <f>IFERROR(VLOOKUP(B126&amp;"-"&amp;C126, '💾 學生體重資料庫'!$A:$I, 4, FALSE), "")</f>
        <v/>
      </c>
      <c r="E126" s="10" t="str">
        <f>IFERROR(VLOOKUP(B126&amp;"-"&amp;C126, '💾 學生體重資料庫'!$A:$I, 8, FALSE), "")</f>
        <v/>
      </c>
      <c r="F126" s="11"/>
      <c r="G126" s="12" t="str">
        <f t="shared" si="2"/>
        <v/>
      </c>
      <c r="H126" s="13" t="str">
        <f t="shared" si="3"/>
        <v/>
      </c>
      <c r="I126" s="14"/>
      <c r="J126" s="14"/>
    </row>
    <row r="127" spans="1:10" ht="22" customHeight="1">
      <c r="A127" s="15">
        <v>120</v>
      </c>
      <c r="B127" s="16" t="s">
        <v>20</v>
      </c>
      <c r="C127" s="8"/>
      <c r="D127" s="9" t="str">
        <f>IFERROR(VLOOKUP(B127&amp;"-"&amp;C127, '💾 學生體重資料庫'!$A:$I, 4, FALSE), "")</f>
        <v/>
      </c>
      <c r="E127" s="10" t="str">
        <f>IFERROR(VLOOKUP(B127&amp;"-"&amp;C127, '💾 學生體重資料庫'!$A:$I, 8, FALSE), "")</f>
        <v/>
      </c>
      <c r="F127" s="11"/>
      <c r="G127" s="12" t="str">
        <f t="shared" si="2"/>
        <v/>
      </c>
      <c r="H127" s="13" t="str">
        <f t="shared" si="3"/>
        <v/>
      </c>
      <c r="I127" s="14"/>
      <c r="J127" s="14"/>
    </row>
    <row r="128" spans="1:10" ht="22" customHeight="1">
      <c r="A128" s="6">
        <v>121</v>
      </c>
      <c r="B128" s="7" t="s">
        <v>20</v>
      </c>
      <c r="C128" s="8"/>
      <c r="D128" s="9" t="str">
        <f>IFERROR(VLOOKUP(B128&amp;"-"&amp;C128, '💾 學生體重資料庫'!$A:$I, 4, FALSE), "")</f>
        <v/>
      </c>
      <c r="E128" s="10" t="str">
        <f>IFERROR(VLOOKUP(B128&amp;"-"&amp;C128, '💾 學生體重資料庫'!$A:$I, 8, FALSE), "")</f>
        <v/>
      </c>
      <c r="F128" s="11"/>
      <c r="G128" s="12" t="str">
        <f t="shared" si="2"/>
        <v/>
      </c>
      <c r="H128" s="13" t="str">
        <f t="shared" si="3"/>
        <v/>
      </c>
      <c r="I128" s="14"/>
      <c r="J128" s="14"/>
    </row>
    <row r="129" spans="1:10" ht="22" customHeight="1">
      <c r="A129" s="15">
        <v>122</v>
      </c>
      <c r="B129" s="16" t="s">
        <v>21</v>
      </c>
      <c r="C129" s="8"/>
      <c r="D129" s="9" t="str">
        <f>IFERROR(VLOOKUP(B129&amp;"-"&amp;C129, '💾 學生體重資料庫'!$A:$I, 4, FALSE), "")</f>
        <v/>
      </c>
      <c r="E129" s="10" t="str">
        <f>IFERROR(VLOOKUP(B129&amp;"-"&amp;C129, '💾 學生體重資料庫'!$A:$I, 8, FALSE), "")</f>
        <v/>
      </c>
      <c r="F129" s="11"/>
      <c r="G129" s="12" t="str">
        <f t="shared" si="2"/>
        <v/>
      </c>
      <c r="H129" s="13" t="str">
        <f t="shared" si="3"/>
        <v/>
      </c>
      <c r="I129" s="14"/>
      <c r="J129" s="14"/>
    </row>
    <row r="130" spans="1:10" ht="22" customHeight="1">
      <c r="A130" s="6">
        <v>123</v>
      </c>
      <c r="B130" s="7" t="s">
        <v>21</v>
      </c>
      <c r="C130" s="8"/>
      <c r="D130" s="9" t="str">
        <f>IFERROR(VLOOKUP(B130&amp;"-"&amp;C130, '💾 學生體重資料庫'!$A:$I, 4, FALSE), "")</f>
        <v/>
      </c>
      <c r="E130" s="10" t="str">
        <f>IFERROR(VLOOKUP(B130&amp;"-"&amp;C130, '💾 學生體重資料庫'!$A:$I, 8, FALSE), "")</f>
        <v/>
      </c>
      <c r="F130" s="11"/>
      <c r="G130" s="12" t="str">
        <f t="shared" si="2"/>
        <v/>
      </c>
      <c r="H130" s="13" t="str">
        <f t="shared" si="3"/>
        <v/>
      </c>
      <c r="I130" s="14"/>
      <c r="J130" s="14"/>
    </row>
    <row r="131" spans="1:10" ht="22" customHeight="1">
      <c r="A131" s="15">
        <v>124</v>
      </c>
      <c r="B131" s="16" t="s">
        <v>21</v>
      </c>
      <c r="C131" s="8"/>
      <c r="D131" s="9" t="str">
        <f>IFERROR(VLOOKUP(B131&amp;"-"&amp;C131, '💾 學生體重資料庫'!$A:$I, 4, FALSE), "")</f>
        <v/>
      </c>
      <c r="E131" s="10" t="str">
        <f>IFERROR(VLOOKUP(B131&amp;"-"&amp;C131, '💾 學生體重資料庫'!$A:$I, 8, FALSE), "")</f>
        <v/>
      </c>
      <c r="F131" s="11"/>
      <c r="G131" s="12" t="str">
        <f t="shared" si="2"/>
        <v/>
      </c>
      <c r="H131" s="13" t="str">
        <f t="shared" si="3"/>
        <v/>
      </c>
      <c r="I131" s="14"/>
      <c r="J131" s="14"/>
    </row>
    <row r="132" spans="1:10" ht="22" customHeight="1">
      <c r="A132" s="6">
        <v>125</v>
      </c>
      <c r="B132" s="7" t="s">
        <v>21</v>
      </c>
      <c r="C132" s="8"/>
      <c r="D132" s="9" t="str">
        <f>IFERROR(VLOOKUP(B132&amp;"-"&amp;C132, '💾 學生體重資料庫'!$A:$I, 4, FALSE), "")</f>
        <v/>
      </c>
      <c r="E132" s="10" t="str">
        <f>IFERROR(VLOOKUP(B132&amp;"-"&amp;C132, '💾 學生體重資料庫'!$A:$I, 8, FALSE), "")</f>
        <v/>
      </c>
      <c r="F132" s="11"/>
      <c r="G132" s="12" t="str">
        <f t="shared" si="2"/>
        <v/>
      </c>
      <c r="H132" s="13" t="str">
        <f t="shared" si="3"/>
        <v/>
      </c>
      <c r="I132" s="14"/>
      <c r="J132" s="14"/>
    </row>
    <row r="133" spans="1:10" ht="22" customHeight="1">
      <c r="A133" s="15">
        <v>126</v>
      </c>
      <c r="B133" s="16" t="s">
        <v>21</v>
      </c>
      <c r="C133" s="8"/>
      <c r="D133" s="9" t="str">
        <f>IFERROR(VLOOKUP(B133&amp;"-"&amp;C133, '💾 學生體重資料庫'!$A:$I, 4, FALSE), "")</f>
        <v/>
      </c>
      <c r="E133" s="10" t="str">
        <f>IFERROR(VLOOKUP(B133&amp;"-"&amp;C133, '💾 學生體重資料庫'!$A:$I, 8, FALSE), "")</f>
        <v/>
      </c>
      <c r="F133" s="11"/>
      <c r="G133" s="12" t="str">
        <f t="shared" si="2"/>
        <v/>
      </c>
      <c r="H133" s="13" t="str">
        <f t="shared" si="3"/>
        <v/>
      </c>
      <c r="I133" s="14"/>
      <c r="J133" s="14"/>
    </row>
    <row r="134" spans="1:10" ht="22" customHeight="1">
      <c r="A134" s="6">
        <v>127</v>
      </c>
      <c r="B134" s="7" t="s">
        <v>21</v>
      </c>
      <c r="C134" s="8"/>
      <c r="D134" s="9" t="str">
        <f>IFERROR(VLOOKUP(B134&amp;"-"&amp;C134, '💾 學生體重資料庫'!$A:$I, 4, FALSE), "")</f>
        <v/>
      </c>
      <c r="E134" s="10" t="str">
        <f>IFERROR(VLOOKUP(B134&amp;"-"&amp;C134, '💾 學生體重資料庫'!$A:$I, 8, FALSE), "")</f>
        <v/>
      </c>
      <c r="F134" s="11"/>
      <c r="G134" s="12" t="str">
        <f t="shared" si="2"/>
        <v/>
      </c>
      <c r="H134" s="13" t="str">
        <f t="shared" si="3"/>
        <v/>
      </c>
      <c r="I134" s="14"/>
      <c r="J134" s="14"/>
    </row>
    <row r="135" spans="1:10" ht="22" customHeight="1">
      <c r="A135" s="15">
        <v>128</v>
      </c>
      <c r="B135" s="16" t="s">
        <v>21</v>
      </c>
      <c r="C135" s="8"/>
      <c r="D135" s="9" t="str">
        <f>IFERROR(VLOOKUP(B135&amp;"-"&amp;C135, '💾 學生體重資料庫'!$A:$I, 4, FALSE), "")</f>
        <v/>
      </c>
      <c r="E135" s="10" t="str">
        <f>IFERROR(VLOOKUP(B135&amp;"-"&amp;C135, '💾 學生體重資料庫'!$A:$I, 8, FALSE), "")</f>
        <v/>
      </c>
      <c r="F135" s="11"/>
      <c r="G135" s="12" t="str">
        <f t="shared" si="2"/>
        <v/>
      </c>
      <c r="H135" s="13" t="str">
        <f t="shared" si="3"/>
        <v/>
      </c>
      <c r="I135" s="14"/>
      <c r="J135" s="14"/>
    </row>
    <row r="136" spans="1:10" ht="22" customHeight="1">
      <c r="A136" s="6">
        <v>129</v>
      </c>
      <c r="B136" s="7" t="s">
        <v>21</v>
      </c>
      <c r="C136" s="8"/>
      <c r="D136" s="9" t="str">
        <f>IFERROR(VLOOKUP(B136&amp;"-"&amp;C136, '💾 學生體重資料庫'!$A:$I, 4, FALSE), "")</f>
        <v/>
      </c>
      <c r="E136" s="10" t="str">
        <f>IFERROR(VLOOKUP(B136&amp;"-"&amp;C136, '💾 學生體重資料庫'!$A:$I, 8, FALSE), "")</f>
        <v/>
      </c>
      <c r="F136" s="11"/>
      <c r="G136" s="12" t="str">
        <f t="shared" ref="G136:G199" si="4">IF(OR(NOT(ISNUMBER(E136)), NOT(ISNUMBER(F136)), E136=0), "", F136/E136)</f>
        <v/>
      </c>
      <c r="H136" s="13" t="str">
        <f t="shared" ref="H136:H199" si="5">IF(G136="", "", IF(G136&lt;=0.15, "達標", "超重"))</f>
        <v/>
      </c>
      <c r="I136" s="14"/>
      <c r="J136" s="14"/>
    </row>
    <row r="137" spans="1:10" ht="22" customHeight="1">
      <c r="A137" s="15">
        <v>130</v>
      </c>
      <c r="B137" s="16" t="s">
        <v>21</v>
      </c>
      <c r="C137" s="8"/>
      <c r="D137" s="9" t="str">
        <f>IFERROR(VLOOKUP(B137&amp;"-"&amp;C137, '💾 學生體重資料庫'!$A:$I, 4, FALSE), "")</f>
        <v/>
      </c>
      <c r="E137" s="10" t="str">
        <f>IFERROR(VLOOKUP(B137&amp;"-"&amp;C137, '💾 學生體重資料庫'!$A:$I, 8, FALSE), "")</f>
        <v/>
      </c>
      <c r="F137" s="11"/>
      <c r="G137" s="12" t="str">
        <f t="shared" si="4"/>
        <v/>
      </c>
      <c r="H137" s="13" t="str">
        <f t="shared" si="5"/>
        <v/>
      </c>
      <c r="I137" s="14"/>
      <c r="J137" s="14"/>
    </row>
    <row r="138" spans="1:10" ht="22" customHeight="1">
      <c r="A138" s="6">
        <v>131</v>
      </c>
      <c r="B138" s="7" t="s">
        <v>21</v>
      </c>
      <c r="C138" s="8"/>
      <c r="D138" s="9" t="str">
        <f>IFERROR(VLOOKUP(B138&amp;"-"&amp;C138, '💾 學生體重資料庫'!$A:$I, 4, FALSE), "")</f>
        <v/>
      </c>
      <c r="E138" s="10" t="str">
        <f>IFERROR(VLOOKUP(B138&amp;"-"&amp;C138, '💾 學生體重資料庫'!$A:$I, 8, FALSE), "")</f>
        <v/>
      </c>
      <c r="F138" s="11"/>
      <c r="G138" s="12" t="str">
        <f t="shared" si="4"/>
        <v/>
      </c>
      <c r="H138" s="13" t="str">
        <f t="shared" si="5"/>
        <v/>
      </c>
      <c r="I138" s="14"/>
      <c r="J138" s="14"/>
    </row>
    <row r="139" spans="1:10" ht="22" customHeight="1">
      <c r="A139" s="15">
        <v>132</v>
      </c>
      <c r="B139" s="16" t="s">
        <v>21</v>
      </c>
      <c r="C139" s="8"/>
      <c r="D139" s="9" t="str">
        <f>IFERROR(VLOOKUP(B139&amp;"-"&amp;C139, '💾 學生體重資料庫'!$A:$I, 4, FALSE), "")</f>
        <v/>
      </c>
      <c r="E139" s="10" t="str">
        <f>IFERROR(VLOOKUP(B139&amp;"-"&amp;C139, '💾 學生體重資料庫'!$A:$I, 8, FALSE), "")</f>
        <v/>
      </c>
      <c r="F139" s="11"/>
      <c r="G139" s="12" t="str">
        <f t="shared" si="4"/>
        <v/>
      </c>
      <c r="H139" s="13" t="str">
        <f t="shared" si="5"/>
        <v/>
      </c>
      <c r="I139" s="14"/>
      <c r="J139" s="14"/>
    </row>
    <row r="140" spans="1:10" ht="22" customHeight="1">
      <c r="A140" s="6">
        <v>133</v>
      </c>
      <c r="B140" s="7" t="s">
        <v>22</v>
      </c>
      <c r="C140" s="8"/>
      <c r="D140" s="9" t="str">
        <f>IFERROR(VLOOKUP(B140&amp;"-"&amp;C140, '💾 學生體重資料庫'!$A:$I, 4, FALSE), "")</f>
        <v/>
      </c>
      <c r="E140" s="10" t="str">
        <f>IFERROR(VLOOKUP(B140&amp;"-"&amp;C140, '💾 學生體重資料庫'!$A:$I, 8, FALSE), "")</f>
        <v/>
      </c>
      <c r="F140" s="11"/>
      <c r="G140" s="12" t="str">
        <f t="shared" si="4"/>
        <v/>
      </c>
      <c r="H140" s="13" t="str">
        <f t="shared" si="5"/>
        <v/>
      </c>
      <c r="I140" s="14"/>
      <c r="J140" s="14"/>
    </row>
    <row r="141" spans="1:10" ht="22" customHeight="1">
      <c r="A141" s="15">
        <v>134</v>
      </c>
      <c r="B141" s="16" t="s">
        <v>22</v>
      </c>
      <c r="C141" s="8"/>
      <c r="D141" s="9" t="str">
        <f>IFERROR(VLOOKUP(B141&amp;"-"&amp;C141, '💾 學生體重資料庫'!$A:$I, 4, FALSE), "")</f>
        <v/>
      </c>
      <c r="E141" s="10" t="str">
        <f>IFERROR(VLOOKUP(B141&amp;"-"&amp;C141, '💾 學生體重資料庫'!$A:$I, 8, FALSE), "")</f>
        <v/>
      </c>
      <c r="F141" s="11"/>
      <c r="G141" s="12" t="str">
        <f t="shared" si="4"/>
        <v/>
      </c>
      <c r="H141" s="13" t="str">
        <f t="shared" si="5"/>
        <v/>
      </c>
      <c r="I141" s="14"/>
      <c r="J141" s="14"/>
    </row>
    <row r="142" spans="1:10" ht="22" customHeight="1">
      <c r="A142" s="6">
        <v>135</v>
      </c>
      <c r="B142" s="7" t="s">
        <v>22</v>
      </c>
      <c r="C142" s="8"/>
      <c r="D142" s="9" t="str">
        <f>IFERROR(VLOOKUP(B142&amp;"-"&amp;C142, '💾 學生體重資料庫'!$A:$I, 4, FALSE), "")</f>
        <v/>
      </c>
      <c r="E142" s="10" t="str">
        <f>IFERROR(VLOOKUP(B142&amp;"-"&amp;C142, '💾 學生體重資料庫'!$A:$I, 8, FALSE), "")</f>
        <v/>
      </c>
      <c r="F142" s="11"/>
      <c r="G142" s="12" t="str">
        <f t="shared" si="4"/>
        <v/>
      </c>
      <c r="H142" s="13" t="str">
        <f t="shared" si="5"/>
        <v/>
      </c>
      <c r="I142" s="14"/>
      <c r="J142" s="14"/>
    </row>
    <row r="143" spans="1:10" ht="22" customHeight="1">
      <c r="A143" s="15">
        <v>136</v>
      </c>
      <c r="B143" s="16" t="s">
        <v>22</v>
      </c>
      <c r="C143" s="8"/>
      <c r="D143" s="9" t="str">
        <f>IFERROR(VLOOKUP(B143&amp;"-"&amp;C143, '💾 學生體重資料庫'!$A:$I, 4, FALSE), "")</f>
        <v/>
      </c>
      <c r="E143" s="10" t="str">
        <f>IFERROR(VLOOKUP(B143&amp;"-"&amp;C143, '💾 學生體重資料庫'!$A:$I, 8, FALSE), "")</f>
        <v/>
      </c>
      <c r="F143" s="11"/>
      <c r="G143" s="12" t="str">
        <f t="shared" si="4"/>
        <v/>
      </c>
      <c r="H143" s="13" t="str">
        <f t="shared" si="5"/>
        <v/>
      </c>
      <c r="I143" s="14"/>
      <c r="J143" s="14"/>
    </row>
    <row r="144" spans="1:10" ht="22" customHeight="1">
      <c r="A144" s="6">
        <v>137</v>
      </c>
      <c r="B144" s="7" t="s">
        <v>22</v>
      </c>
      <c r="C144" s="8"/>
      <c r="D144" s="9" t="str">
        <f>IFERROR(VLOOKUP(B144&amp;"-"&amp;C144, '💾 學生體重資料庫'!$A:$I, 4, FALSE), "")</f>
        <v/>
      </c>
      <c r="E144" s="10" t="str">
        <f>IFERROR(VLOOKUP(B144&amp;"-"&amp;C144, '💾 學生體重資料庫'!$A:$I, 8, FALSE), "")</f>
        <v/>
      </c>
      <c r="F144" s="11"/>
      <c r="G144" s="12" t="str">
        <f t="shared" si="4"/>
        <v/>
      </c>
      <c r="H144" s="13" t="str">
        <f t="shared" si="5"/>
        <v/>
      </c>
      <c r="I144" s="14"/>
      <c r="J144" s="14"/>
    </row>
    <row r="145" spans="1:10" ht="22" customHeight="1">
      <c r="A145" s="15">
        <v>138</v>
      </c>
      <c r="B145" s="16" t="s">
        <v>22</v>
      </c>
      <c r="C145" s="8"/>
      <c r="D145" s="9" t="str">
        <f>IFERROR(VLOOKUP(B145&amp;"-"&amp;C145, '💾 學生體重資料庫'!$A:$I, 4, FALSE), "")</f>
        <v/>
      </c>
      <c r="E145" s="10" t="str">
        <f>IFERROR(VLOOKUP(B145&amp;"-"&amp;C145, '💾 學生體重資料庫'!$A:$I, 8, FALSE), "")</f>
        <v/>
      </c>
      <c r="F145" s="11"/>
      <c r="G145" s="12" t="str">
        <f t="shared" si="4"/>
        <v/>
      </c>
      <c r="H145" s="13" t="str">
        <f t="shared" si="5"/>
        <v/>
      </c>
      <c r="I145" s="14"/>
      <c r="J145" s="14"/>
    </row>
    <row r="146" spans="1:10" ht="22" customHeight="1">
      <c r="A146" s="6">
        <v>139</v>
      </c>
      <c r="B146" s="7" t="s">
        <v>22</v>
      </c>
      <c r="C146" s="8"/>
      <c r="D146" s="9" t="str">
        <f>IFERROR(VLOOKUP(B146&amp;"-"&amp;C146, '💾 學生體重資料庫'!$A:$I, 4, FALSE), "")</f>
        <v/>
      </c>
      <c r="E146" s="10" t="str">
        <f>IFERROR(VLOOKUP(B146&amp;"-"&amp;C146, '💾 學生體重資料庫'!$A:$I, 8, FALSE), "")</f>
        <v/>
      </c>
      <c r="F146" s="11"/>
      <c r="G146" s="12" t="str">
        <f t="shared" si="4"/>
        <v/>
      </c>
      <c r="H146" s="13" t="str">
        <f t="shared" si="5"/>
        <v/>
      </c>
      <c r="I146" s="14"/>
      <c r="J146" s="14"/>
    </row>
    <row r="147" spans="1:10" ht="22" customHeight="1">
      <c r="A147" s="15">
        <v>140</v>
      </c>
      <c r="B147" s="16" t="s">
        <v>22</v>
      </c>
      <c r="C147" s="8"/>
      <c r="D147" s="9" t="str">
        <f>IFERROR(VLOOKUP(B147&amp;"-"&amp;C147, '💾 學生體重資料庫'!$A:$I, 4, FALSE), "")</f>
        <v/>
      </c>
      <c r="E147" s="10" t="str">
        <f>IFERROR(VLOOKUP(B147&amp;"-"&amp;C147, '💾 學生體重資料庫'!$A:$I, 8, FALSE), "")</f>
        <v/>
      </c>
      <c r="F147" s="11"/>
      <c r="G147" s="12" t="str">
        <f t="shared" si="4"/>
        <v/>
      </c>
      <c r="H147" s="13" t="str">
        <f t="shared" si="5"/>
        <v/>
      </c>
      <c r="I147" s="14"/>
      <c r="J147" s="14"/>
    </row>
    <row r="148" spans="1:10" ht="22" customHeight="1">
      <c r="A148" s="6">
        <v>141</v>
      </c>
      <c r="B148" s="7" t="s">
        <v>22</v>
      </c>
      <c r="C148" s="8"/>
      <c r="D148" s="9" t="str">
        <f>IFERROR(VLOOKUP(B148&amp;"-"&amp;C148, '💾 學生體重資料庫'!$A:$I, 4, FALSE), "")</f>
        <v/>
      </c>
      <c r="E148" s="10" t="str">
        <f>IFERROR(VLOOKUP(B148&amp;"-"&amp;C148, '💾 學生體重資料庫'!$A:$I, 8, FALSE), "")</f>
        <v/>
      </c>
      <c r="F148" s="11"/>
      <c r="G148" s="12" t="str">
        <f t="shared" si="4"/>
        <v/>
      </c>
      <c r="H148" s="13" t="str">
        <f t="shared" si="5"/>
        <v/>
      </c>
      <c r="I148" s="14"/>
      <c r="J148" s="14"/>
    </row>
    <row r="149" spans="1:10" ht="22" customHeight="1">
      <c r="A149" s="15">
        <v>142</v>
      </c>
      <c r="B149" s="16" t="s">
        <v>22</v>
      </c>
      <c r="C149" s="8"/>
      <c r="D149" s="9" t="str">
        <f>IFERROR(VLOOKUP(B149&amp;"-"&amp;C149, '💾 學生體重資料庫'!$A:$I, 4, FALSE), "")</f>
        <v/>
      </c>
      <c r="E149" s="10" t="str">
        <f>IFERROR(VLOOKUP(B149&amp;"-"&amp;C149, '💾 學生體重資料庫'!$A:$I, 8, FALSE), "")</f>
        <v/>
      </c>
      <c r="F149" s="11"/>
      <c r="G149" s="12" t="str">
        <f t="shared" si="4"/>
        <v/>
      </c>
      <c r="H149" s="13" t="str">
        <f t="shared" si="5"/>
        <v/>
      </c>
      <c r="I149" s="14"/>
      <c r="J149" s="14"/>
    </row>
    <row r="150" spans="1:10" ht="22" customHeight="1">
      <c r="A150" s="6">
        <v>143</v>
      </c>
      <c r="B150" s="7" t="s">
        <v>22</v>
      </c>
      <c r="C150" s="8"/>
      <c r="D150" s="9" t="str">
        <f>IFERROR(VLOOKUP(B150&amp;"-"&amp;C150, '💾 學生體重資料庫'!$A:$I, 4, FALSE), "")</f>
        <v/>
      </c>
      <c r="E150" s="10" t="str">
        <f>IFERROR(VLOOKUP(B150&amp;"-"&amp;C150, '💾 學生體重資料庫'!$A:$I, 8, FALSE), "")</f>
        <v/>
      </c>
      <c r="F150" s="11"/>
      <c r="G150" s="12" t="str">
        <f t="shared" si="4"/>
        <v/>
      </c>
      <c r="H150" s="13" t="str">
        <f t="shared" si="5"/>
        <v/>
      </c>
      <c r="I150" s="14"/>
      <c r="J150" s="14"/>
    </row>
    <row r="151" spans="1:10" ht="22" customHeight="1">
      <c r="A151" s="15">
        <v>144</v>
      </c>
      <c r="B151" s="16" t="s">
        <v>23</v>
      </c>
      <c r="C151" s="8"/>
      <c r="D151" s="9" t="str">
        <f>IFERROR(VLOOKUP(B151&amp;"-"&amp;C151, '💾 學生體重資料庫'!$A:$I, 4, FALSE), "")</f>
        <v/>
      </c>
      <c r="E151" s="10" t="str">
        <f>IFERROR(VLOOKUP(B151&amp;"-"&amp;C151, '💾 學生體重資料庫'!$A:$I, 8, FALSE), "")</f>
        <v/>
      </c>
      <c r="F151" s="11"/>
      <c r="G151" s="12" t="str">
        <f t="shared" si="4"/>
        <v/>
      </c>
      <c r="H151" s="13" t="str">
        <f t="shared" si="5"/>
        <v/>
      </c>
      <c r="I151" s="14"/>
      <c r="J151" s="14"/>
    </row>
    <row r="152" spans="1:10" ht="22" customHeight="1">
      <c r="A152" s="6">
        <v>145</v>
      </c>
      <c r="B152" s="7" t="s">
        <v>23</v>
      </c>
      <c r="C152" s="8"/>
      <c r="D152" s="9" t="str">
        <f>IFERROR(VLOOKUP(B152&amp;"-"&amp;C152, '💾 學生體重資料庫'!$A:$I, 4, FALSE), "")</f>
        <v/>
      </c>
      <c r="E152" s="10" t="str">
        <f>IFERROR(VLOOKUP(B152&amp;"-"&amp;C152, '💾 學生體重資料庫'!$A:$I, 8, FALSE), "")</f>
        <v/>
      </c>
      <c r="F152" s="11"/>
      <c r="G152" s="12" t="str">
        <f t="shared" si="4"/>
        <v/>
      </c>
      <c r="H152" s="13" t="str">
        <f t="shared" si="5"/>
        <v/>
      </c>
      <c r="I152" s="14"/>
      <c r="J152" s="14"/>
    </row>
    <row r="153" spans="1:10" ht="22" customHeight="1">
      <c r="A153" s="15">
        <v>146</v>
      </c>
      <c r="B153" s="16" t="s">
        <v>23</v>
      </c>
      <c r="C153" s="8"/>
      <c r="D153" s="9" t="str">
        <f>IFERROR(VLOOKUP(B153&amp;"-"&amp;C153, '💾 學生體重資料庫'!$A:$I, 4, FALSE), "")</f>
        <v/>
      </c>
      <c r="E153" s="10" t="str">
        <f>IFERROR(VLOOKUP(B153&amp;"-"&amp;C153, '💾 學生體重資料庫'!$A:$I, 8, FALSE), "")</f>
        <v/>
      </c>
      <c r="F153" s="11"/>
      <c r="G153" s="12" t="str">
        <f t="shared" si="4"/>
        <v/>
      </c>
      <c r="H153" s="13" t="str">
        <f t="shared" si="5"/>
        <v/>
      </c>
      <c r="I153" s="14"/>
      <c r="J153" s="14"/>
    </row>
    <row r="154" spans="1:10" ht="22" customHeight="1">
      <c r="A154" s="6">
        <v>147</v>
      </c>
      <c r="B154" s="7" t="s">
        <v>23</v>
      </c>
      <c r="C154" s="8"/>
      <c r="D154" s="9" t="str">
        <f>IFERROR(VLOOKUP(B154&amp;"-"&amp;C154, '💾 學生體重資料庫'!$A:$I, 4, FALSE), "")</f>
        <v/>
      </c>
      <c r="E154" s="10" t="str">
        <f>IFERROR(VLOOKUP(B154&amp;"-"&amp;C154, '💾 學生體重資料庫'!$A:$I, 8, FALSE), "")</f>
        <v/>
      </c>
      <c r="F154" s="11"/>
      <c r="G154" s="12" t="str">
        <f t="shared" si="4"/>
        <v/>
      </c>
      <c r="H154" s="13" t="str">
        <f t="shared" si="5"/>
        <v/>
      </c>
      <c r="I154" s="14"/>
      <c r="J154" s="14"/>
    </row>
    <row r="155" spans="1:10" ht="22" customHeight="1">
      <c r="A155" s="15">
        <v>148</v>
      </c>
      <c r="B155" s="16" t="s">
        <v>23</v>
      </c>
      <c r="C155" s="8"/>
      <c r="D155" s="9" t="str">
        <f>IFERROR(VLOOKUP(B155&amp;"-"&amp;C155, '💾 學生體重資料庫'!$A:$I, 4, FALSE), "")</f>
        <v/>
      </c>
      <c r="E155" s="10" t="str">
        <f>IFERROR(VLOOKUP(B155&amp;"-"&amp;C155, '💾 學生體重資料庫'!$A:$I, 8, FALSE), "")</f>
        <v/>
      </c>
      <c r="F155" s="11"/>
      <c r="G155" s="12" t="str">
        <f t="shared" si="4"/>
        <v/>
      </c>
      <c r="H155" s="13" t="str">
        <f t="shared" si="5"/>
        <v/>
      </c>
      <c r="I155" s="14"/>
      <c r="J155" s="14"/>
    </row>
    <row r="156" spans="1:10" ht="22" customHeight="1">
      <c r="A156" s="6">
        <v>149</v>
      </c>
      <c r="B156" s="7" t="s">
        <v>23</v>
      </c>
      <c r="C156" s="8"/>
      <c r="D156" s="9" t="str">
        <f>IFERROR(VLOOKUP(B156&amp;"-"&amp;C156, '💾 學生體重資料庫'!$A:$I, 4, FALSE), "")</f>
        <v/>
      </c>
      <c r="E156" s="10" t="str">
        <f>IFERROR(VLOOKUP(B156&amp;"-"&amp;C156, '💾 學生體重資料庫'!$A:$I, 8, FALSE), "")</f>
        <v/>
      </c>
      <c r="F156" s="11"/>
      <c r="G156" s="12" t="str">
        <f t="shared" si="4"/>
        <v/>
      </c>
      <c r="H156" s="13" t="str">
        <f t="shared" si="5"/>
        <v/>
      </c>
      <c r="I156" s="14"/>
      <c r="J156" s="14"/>
    </row>
    <row r="157" spans="1:10" ht="22" customHeight="1">
      <c r="A157" s="15">
        <v>150</v>
      </c>
      <c r="B157" s="16" t="s">
        <v>23</v>
      </c>
      <c r="C157" s="8"/>
      <c r="D157" s="9" t="str">
        <f>IFERROR(VLOOKUP(B157&amp;"-"&amp;C157, '💾 學生體重資料庫'!$A:$I, 4, FALSE), "")</f>
        <v/>
      </c>
      <c r="E157" s="10" t="str">
        <f>IFERROR(VLOOKUP(B157&amp;"-"&amp;C157, '💾 學生體重資料庫'!$A:$I, 8, FALSE), "")</f>
        <v/>
      </c>
      <c r="F157" s="11"/>
      <c r="G157" s="12" t="str">
        <f t="shared" si="4"/>
        <v/>
      </c>
      <c r="H157" s="13" t="str">
        <f t="shared" si="5"/>
        <v/>
      </c>
      <c r="I157" s="14"/>
      <c r="J157" s="14"/>
    </row>
    <row r="158" spans="1:10" ht="22" customHeight="1">
      <c r="A158" s="6">
        <v>151</v>
      </c>
      <c r="B158" s="7" t="s">
        <v>23</v>
      </c>
      <c r="C158" s="8"/>
      <c r="D158" s="9" t="str">
        <f>IFERROR(VLOOKUP(B158&amp;"-"&amp;C158, '💾 學生體重資料庫'!$A:$I, 4, FALSE), "")</f>
        <v/>
      </c>
      <c r="E158" s="10" t="str">
        <f>IFERROR(VLOOKUP(B158&amp;"-"&amp;C158, '💾 學生體重資料庫'!$A:$I, 8, FALSE), "")</f>
        <v/>
      </c>
      <c r="F158" s="11"/>
      <c r="G158" s="12" t="str">
        <f t="shared" si="4"/>
        <v/>
      </c>
      <c r="H158" s="13" t="str">
        <f t="shared" si="5"/>
        <v/>
      </c>
      <c r="I158" s="14"/>
      <c r="J158" s="14"/>
    </row>
    <row r="159" spans="1:10" ht="22" customHeight="1">
      <c r="A159" s="15">
        <v>152</v>
      </c>
      <c r="B159" s="16" t="s">
        <v>23</v>
      </c>
      <c r="C159" s="8"/>
      <c r="D159" s="9" t="str">
        <f>IFERROR(VLOOKUP(B159&amp;"-"&amp;C159, '💾 學生體重資料庫'!$A:$I, 4, FALSE), "")</f>
        <v/>
      </c>
      <c r="E159" s="10" t="str">
        <f>IFERROR(VLOOKUP(B159&amp;"-"&amp;C159, '💾 學生體重資料庫'!$A:$I, 8, FALSE), "")</f>
        <v/>
      </c>
      <c r="F159" s="11"/>
      <c r="G159" s="12" t="str">
        <f t="shared" si="4"/>
        <v/>
      </c>
      <c r="H159" s="13" t="str">
        <f t="shared" si="5"/>
        <v/>
      </c>
      <c r="I159" s="14"/>
      <c r="J159" s="14"/>
    </row>
    <row r="160" spans="1:10" ht="22" customHeight="1">
      <c r="A160" s="6">
        <v>153</v>
      </c>
      <c r="B160" s="7" t="s">
        <v>23</v>
      </c>
      <c r="C160" s="8"/>
      <c r="D160" s="9" t="str">
        <f>IFERROR(VLOOKUP(B160&amp;"-"&amp;C160, '💾 學生體重資料庫'!$A:$I, 4, FALSE), "")</f>
        <v/>
      </c>
      <c r="E160" s="10" t="str">
        <f>IFERROR(VLOOKUP(B160&amp;"-"&amp;C160, '💾 學生體重資料庫'!$A:$I, 8, FALSE), "")</f>
        <v/>
      </c>
      <c r="F160" s="11"/>
      <c r="G160" s="12" t="str">
        <f t="shared" si="4"/>
        <v/>
      </c>
      <c r="H160" s="13" t="str">
        <f t="shared" si="5"/>
        <v/>
      </c>
      <c r="I160" s="14"/>
      <c r="J160" s="14"/>
    </row>
    <row r="161" spans="1:10" ht="22" customHeight="1">
      <c r="A161" s="15">
        <v>154</v>
      </c>
      <c r="B161" s="16" t="s">
        <v>23</v>
      </c>
      <c r="C161" s="8"/>
      <c r="D161" s="9" t="str">
        <f>IFERROR(VLOOKUP(B161&amp;"-"&amp;C161, '💾 學生體重資料庫'!$A:$I, 4, FALSE), "")</f>
        <v/>
      </c>
      <c r="E161" s="10" t="str">
        <f>IFERROR(VLOOKUP(B161&amp;"-"&amp;C161, '💾 學生體重資料庫'!$A:$I, 8, FALSE), "")</f>
        <v/>
      </c>
      <c r="F161" s="11"/>
      <c r="G161" s="12" t="str">
        <f t="shared" si="4"/>
        <v/>
      </c>
      <c r="H161" s="13" t="str">
        <f t="shared" si="5"/>
        <v/>
      </c>
      <c r="I161" s="14"/>
      <c r="J161" s="14"/>
    </row>
    <row r="162" spans="1:10" ht="22" customHeight="1">
      <c r="A162" s="6">
        <v>155</v>
      </c>
      <c r="B162" s="7" t="s">
        <v>24</v>
      </c>
      <c r="C162" s="8"/>
      <c r="D162" s="9" t="str">
        <f>IFERROR(VLOOKUP(B162&amp;"-"&amp;C162, '💾 學生體重資料庫'!$A:$I, 4, FALSE), "")</f>
        <v/>
      </c>
      <c r="E162" s="10" t="str">
        <f>IFERROR(VLOOKUP(B162&amp;"-"&amp;C162, '💾 學生體重資料庫'!$A:$I, 8, FALSE), "")</f>
        <v/>
      </c>
      <c r="F162" s="11"/>
      <c r="G162" s="12" t="str">
        <f t="shared" si="4"/>
        <v/>
      </c>
      <c r="H162" s="13" t="str">
        <f t="shared" si="5"/>
        <v/>
      </c>
      <c r="I162" s="14"/>
      <c r="J162" s="14"/>
    </row>
    <row r="163" spans="1:10" ht="22" customHeight="1">
      <c r="A163" s="15">
        <v>156</v>
      </c>
      <c r="B163" s="16" t="s">
        <v>24</v>
      </c>
      <c r="C163" s="8"/>
      <c r="D163" s="9" t="str">
        <f>IFERROR(VLOOKUP(B163&amp;"-"&amp;C163, '💾 學生體重資料庫'!$A:$I, 4, FALSE), "")</f>
        <v/>
      </c>
      <c r="E163" s="10" t="str">
        <f>IFERROR(VLOOKUP(B163&amp;"-"&amp;C163, '💾 學生體重資料庫'!$A:$I, 8, FALSE), "")</f>
        <v/>
      </c>
      <c r="F163" s="11"/>
      <c r="G163" s="12" t="str">
        <f t="shared" si="4"/>
        <v/>
      </c>
      <c r="H163" s="13" t="str">
        <f t="shared" si="5"/>
        <v/>
      </c>
      <c r="I163" s="14"/>
      <c r="J163" s="14"/>
    </row>
    <row r="164" spans="1:10" ht="22" customHeight="1">
      <c r="A164" s="6">
        <v>157</v>
      </c>
      <c r="B164" s="7" t="s">
        <v>24</v>
      </c>
      <c r="C164" s="8"/>
      <c r="D164" s="9" t="str">
        <f>IFERROR(VLOOKUP(B164&amp;"-"&amp;C164, '💾 學生體重資料庫'!$A:$I, 4, FALSE), "")</f>
        <v/>
      </c>
      <c r="E164" s="10" t="str">
        <f>IFERROR(VLOOKUP(B164&amp;"-"&amp;C164, '💾 學生體重資料庫'!$A:$I, 8, FALSE), "")</f>
        <v/>
      </c>
      <c r="F164" s="11"/>
      <c r="G164" s="12" t="str">
        <f t="shared" si="4"/>
        <v/>
      </c>
      <c r="H164" s="13" t="str">
        <f t="shared" si="5"/>
        <v/>
      </c>
      <c r="I164" s="14"/>
      <c r="J164" s="14"/>
    </row>
    <row r="165" spans="1:10" ht="22" customHeight="1">
      <c r="A165" s="15">
        <v>158</v>
      </c>
      <c r="B165" s="16" t="s">
        <v>24</v>
      </c>
      <c r="C165" s="8"/>
      <c r="D165" s="9" t="str">
        <f>IFERROR(VLOOKUP(B165&amp;"-"&amp;C165, '💾 學生體重資料庫'!$A:$I, 4, FALSE), "")</f>
        <v/>
      </c>
      <c r="E165" s="10" t="str">
        <f>IFERROR(VLOOKUP(B165&amp;"-"&amp;C165, '💾 學生體重資料庫'!$A:$I, 8, FALSE), "")</f>
        <v/>
      </c>
      <c r="F165" s="11"/>
      <c r="G165" s="12" t="str">
        <f t="shared" si="4"/>
        <v/>
      </c>
      <c r="H165" s="13" t="str">
        <f t="shared" si="5"/>
        <v/>
      </c>
      <c r="I165" s="14"/>
      <c r="J165" s="14"/>
    </row>
    <row r="166" spans="1:10" ht="22" customHeight="1">
      <c r="A166" s="6">
        <v>159</v>
      </c>
      <c r="B166" s="7" t="s">
        <v>24</v>
      </c>
      <c r="C166" s="8"/>
      <c r="D166" s="9" t="str">
        <f>IFERROR(VLOOKUP(B166&amp;"-"&amp;C166, '💾 學生體重資料庫'!$A:$I, 4, FALSE), "")</f>
        <v/>
      </c>
      <c r="E166" s="10" t="str">
        <f>IFERROR(VLOOKUP(B166&amp;"-"&amp;C166, '💾 學生體重資料庫'!$A:$I, 8, FALSE), "")</f>
        <v/>
      </c>
      <c r="F166" s="11"/>
      <c r="G166" s="12" t="str">
        <f t="shared" si="4"/>
        <v/>
      </c>
      <c r="H166" s="13" t="str">
        <f t="shared" si="5"/>
        <v/>
      </c>
      <c r="I166" s="14"/>
      <c r="J166" s="14"/>
    </row>
    <row r="167" spans="1:10" ht="22" customHeight="1">
      <c r="A167" s="15">
        <v>160</v>
      </c>
      <c r="B167" s="16" t="s">
        <v>24</v>
      </c>
      <c r="C167" s="8"/>
      <c r="D167" s="9" t="str">
        <f>IFERROR(VLOOKUP(B167&amp;"-"&amp;C167, '💾 學生體重資料庫'!$A:$I, 4, FALSE), "")</f>
        <v/>
      </c>
      <c r="E167" s="10" t="str">
        <f>IFERROR(VLOOKUP(B167&amp;"-"&amp;C167, '💾 學生體重資料庫'!$A:$I, 8, FALSE), "")</f>
        <v/>
      </c>
      <c r="F167" s="11"/>
      <c r="G167" s="12" t="str">
        <f t="shared" si="4"/>
        <v/>
      </c>
      <c r="H167" s="13" t="str">
        <f t="shared" si="5"/>
        <v/>
      </c>
      <c r="I167" s="14"/>
      <c r="J167" s="14"/>
    </row>
    <row r="168" spans="1:10" ht="22" customHeight="1">
      <c r="A168" s="6">
        <v>161</v>
      </c>
      <c r="B168" s="7" t="s">
        <v>24</v>
      </c>
      <c r="C168" s="8"/>
      <c r="D168" s="9" t="str">
        <f>IFERROR(VLOOKUP(B168&amp;"-"&amp;C168, '💾 學生體重資料庫'!$A:$I, 4, FALSE), "")</f>
        <v/>
      </c>
      <c r="E168" s="10" t="str">
        <f>IFERROR(VLOOKUP(B168&amp;"-"&amp;C168, '💾 學生體重資料庫'!$A:$I, 8, FALSE), "")</f>
        <v/>
      </c>
      <c r="F168" s="11"/>
      <c r="G168" s="12" t="str">
        <f t="shared" si="4"/>
        <v/>
      </c>
      <c r="H168" s="13" t="str">
        <f t="shared" si="5"/>
        <v/>
      </c>
      <c r="I168" s="14"/>
      <c r="J168" s="14"/>
    </row>
    <row r="169" spans="1:10" ht="22" customHeight="1">
      <c r="A169" s="15">
        <v>162</v>
      </c>
      <c r="B169" s="16" t="s">
        <v>24</v>
      </c>
      <c r="C169" s="8"/>
      <c r="D169" s="9" t="str">
        <f>IFERROR(VLOOKUP(B169&amp;"-"&amp;C169, '💾 學生體重資料庫'!$A:$I, 4, FALSE), "")</f>
        <v/>
      </c>
      <c r="E169" s="10" t="str">
        <f>IFERROR(VLOOKUP(B169&amp;"-"&amp;C169, '💾 學生體重資料庫'!$A:$I, 8, FALSE), "")</f>
        <v/>
      </c>
      <c r="F169" s="11"/>
      <c r="G169" s="12" t="str">
        <f t="shared" si="4"/>
        <v/>
      </c>
      <c r="H169" s="13" t="str">
        <f t="shared" si="5"/>
        <v/>
      </c>
      <c r="I169" s="14"/>
      <c r="J169" s="14"/>
    </row>
    <row r="170" spans="1:10" ht="22" customHeight="1">
      <c r="A170" s="6">
        <v>163</v>
      </c>
      <c r="B170" s="7" t="s">
        <v>24</v>
      </c>
      <c r="C170" s="8"/>
      <c r="D170" s="9" t="str">
        <f>IFERROR(VLOOKUP(B170&amp;"-"&amp;C170, '💾 學生體重資料庫'!$A:$I, 4, FALSE), "")</f>
        <v/>
      </c>
      <c r="E170" s="10" t="str">
        <f>IFERROR(VLOOKUP(B170&amp;"-"&amp;C170, '💾 學生體重資料庫'!$A:$I, 8, FALSE), "")</f>
        <v/>
      </c>
      <c r="F170" s="11"/>
      <c r="G170" s="12" t="str">
        <f t="shared" si="4"/>
        <v/>
      </c>
      <c r="H170" s="13" t="str">
        <f t="shared" si="5"/>
        <v/>
      </c>
      <c r="I170" s="14"/>
      <c r="J170" s="14"/>
    </row>
    <row r="171" spans="1:10" ht="22" customHeight="1">
      <c r="A171" s="15">
        <v>164</v>
      </c>
      <c r="B171" s="16" t="s">
        <v>24</v>
      </c>
      <c r="C171" s="8"/>
      <c r="D171" s="9" t="str">
        <f>IFERROR(VLOOKUP(B171&amp;"-"&amp;C171, '💾 學生體重資料庫'!$A:$I, 4, FALSE), "")</f>
        <v/>
      </c>
      <c r="E171" s="10" t="str">
        <f>IFERROR(VLOOKUP(B171&amp;"-"&amp;C171, '💾 學生體重資料庫'!$A:$I, 8, FALSE), "")</f>
        <v/>
      </c>
      <c r="F171" s="11"/>
      <c r="G171" s="12" t="str">
        <f t="shared" si="4"/>
        <v/>
      </c>
      <c r="H171" s="13" t="str">
        <f t="shared" si="5"/>
        <v/>
      </c>
      <c r="I171" s="14"/>
      <c r="J171" s="14"/>
    </row>
    <row r="172" spans="1:10" ht="22" customHeight="1">
      <c r="A172" s="6">
        <v>165</v>
      </c>
      <c r="B172" s="7" t="s">
        <v>24</v>
      </c>
      <c r="C172" s="8"/>
      <c r="D172" s="9" t="str">
        <f>IFERROR(VLOOKUP(B172&amp;"-"&amp;C172, '💾 學生體重資料庫'!$A:$I, 4, FALSE), "")</f>
        <v/>
      </c>
      <c r="E172" s="10" t="str">
        <f>IFERROR(VLOOKUP(B172&amp;"-"&amp;C172, '💾 學生體重資料庫'!$A:$I, 8, FALSE), "")</f>
        <v/>
      </c>
      <c r="F172" s="11"/>
      <c r="G172" s="12" t="str">
        <f t="shared" si="4"/>
        <v/>
      </c>
      <c r="H172" s="13" t="str">
        <f t="shared" si="5"/>
        <v/>
      </c>
      <c r="I172" s="14"/>
      <c r="J172" s="14"/>
    </row>
    <row r="173" spans="1:10" ht="22" customHeight="1">
      <c r="A173" s="15">
        <v>166</v>
      </c>
      <c r="B173" s="16" t="s">
        <v>25</v>
      </c>
      <c r="C173" s="8"/>
      <c r="D173" s="9" t="str">
        <f>IFERROR(VLOOKUP(B173&amp;"-"&amp;C173, '💾 學生體重資料庫'!$A:$I, 4, FALSE), "")</f>
        <v/>
      </c>
      <c r="E173" s="10" t="str">
        <f>IFERROR(VLOOKUP(B173&amp;"-"&amp;C173, '💾 學生體重資料庫'!$A:$I, 8, FALSE), "")</f>
        <v/>
      </c>
      <c r="F173" s="11"/>
      <c r="G173" s="12" t="str">
        <f t="shared" si="4"/>
        <v/>
      </c>
      <c r="H173" s="13" t="str">
        <f t="shared" si="5"/>
        <v/>
      </c>
      <c r="I173" s="14"/>
      <c r="J173" s="14"/>
    </row>
    <row r="174" spans="1:10" ht="22" customHeight="1">
      <c r="A174" s="6">
        <v>167</v>
      </c>
      <c r="B174" s="7" t="s">
        <v>25</v>
      </c>
      <c r="C174" s="8"/>
      <c r="D174" s="9" t="str">
        <f>IFERROR(VLOOKUP(B174&amp;"-"&amp;C174, '💾 學生體重資料庫'!$A:$I, 4, FALSE), "")</f>
        <v/>
      </c>
      <c r="E174" s="10" t="str">
        <f>IFERROR(VLOOKUP(B174&amp;"-"&amp;C174, '💾 學生體重資料庫'!$A:$I, 8, FALSE), "")</f>
        <v/>
      </c>
      <c r="F174" s="11"/>
      <c r="G174" s="12" t="str">
        <f t="shared" si="4"/>
        <v/>
      </c>
      <c r="H174" s="13" t="str">
        <f t="shared" si="5"/>
        <v/>
      </c>
      <c r="I174" s="14"/>
      <c r="J174" s="14"/>
    </row>
    <row r="175" spans="1:10" ht="22" customHeight="1">
      <c r="A175" s="15">
        <v>168</v>
      </c>
      <c r="B175" s="16" t="s">
        <v>25</v>
      </c>
      <c r="C175" s="8"/>
      <c r="D175" s="9" t="str">
        <f>IFERROR(VLOOKUP(B175&amp;"-"&amp;C175, '💾 學生體重資料庫'!$A:$I, 4, FALSE), "")</f>
        <v/>
      </c>
      <c r="E175" s="10" t="str">
        <f>IFERROR(VLOOKUP(B175&amp;"-"&amp;C175, '💾 學生體重資料庫'!$A:$I, 8, FALSE), "")</f>
        <v/>
      </c>
      <c r="F175" s="11"/>
      <c r="G175" s="12" t="str">
        <f t="shared" si="4"/>
        <v/>
      </c>
      <c r="H175" s="13" t="str">
        <f t="shared" si="5"/>
        <v/>
      </c>
      <c r="I175" s="14"/>
      <c r="J175" s="14"/>
    </row>
    <row r="176" spans="1:10" ht="22" customHeight="1">
      <c r="A176" s="6">
        <v>169</v>
      </c>
      <c r="B176" s="7" t="s">
        <v>25</v>
      </c>
      <c r="C176" s="8"/>
      <c r="D176" s="9" t="str">
        <f>IFERROR(VLOOKUP(B176&amp;"-"&amp;C176, '💾 學生體重資料庫'!$A:$I, 4, FALSE), "")</f>
        <v/>
      </c>
      <c r="E176" s="10" t="str">
        <f>IFERROR(VLOOKUP(B176&amp;"-"&amp;C176, '💾 學生體重資料庫'!$A:$I, 8, FALSE), "")</f>
        <v/>
      </c>
      <c r="F176" s="11"/>
      <c r="G176" s="12" t="str">
        <f t="shared" si="4"/>
        <v/>
      </c>
      <c r="H176" s="13" t="str">
        <f t="shared" si="5"/>
        <v/>
      </c>
      <c r="I176" s="14"/>
      <c r="J176" s="14"/>
    </row>
    <row r="177" spans="1:10" ht="22" customHeight="1">
      <c r="A177" s="15">
        <v>170</v>
      </c>
      <c r="B177" s="16" t="s">
        <v>25</v>
      </c>
      <c r="C177" s="8"/>
      <c r="D177" s="9" t="str">
        <f>IFERROR(VLOOKUP(B177&amp;"-"&amp;C177, '💾 學生體重資料庫'!$A:$I, 4, FALSE), "")</f>
        <v/>
      </c>
      <c r="E177" s="10" t="str">
        <f>IFERROR(VLOOKUP(B177&amp;"-"&amp;C177, '💾 學生體重資料庫'!$A:$I, 8, FALSE), "")</f>
        <v/>
      </c>
      <c r="F177" s="11"/>
      <c r="G177" s="12" t="str">
        <f t="shared" si="4"/>
        <v/>
      </c>
      <c r="H177" s="13" t="str">
        <f t="shared" si="5"/>
        <v/>
      </c>
      <c r="I177" s="14"/>
      <c r="J177" s="14"/>
    </row>
    <row r="178" spans="1:10" ht="22" customHeight="1">
      <c r="A178" s="6">
        <v>171</v>
      </c>
      <c r="B178" s="7" t="s">
        <v>25</v>
      </c>
      <c r="C178" s="8"/>
      <c r="D178" s="9" t="str">
        <f>IFERROR(VLOOKUP(B178&amp;"-"&amp;C178, '💾 學生體重資料庫'!$A:$I, 4, FALSE), "")</f>
        <v/>
      </c>
      <c r="E178" s="10" t="str">
        <f>IFERROR(VLOOKUP(B178&amp;"-"&amp;C178, '💾 學生體重資料庫'!$A:$I, 8, FALSE), "")</f>
        <v/>
      </c>
      <c r="F178" s="11"/>
      <c r="G178" s="12" t="str">
        <f t="shared" si="4"/>
        <v/>
      </c>
      <c r="H178" s="13" t="str">
        <f t="shared" si="5"/>
        <v/>
      </c>
      <c r="I178" s="14"/>
      <c r="J178" s="14"/>
    </row>
    <row r="179" spans="1:10" ht="22" customHeight="1">
      <c r="A179" s="15">
        <v>172</v>
      </c>
      <c r="B179" s="16" t="s">
        <v>25</v>
      </c>
      <c r="C179" s="8"/>
      <c r="D179" s="9" t="str">
        <f>IFERROR(VLOOKUP(B179&amp;"-"&amp;C179, '💾 學生體重資料庫'!$A:$I, 4, FALSE), "")</f>
        <v/>
      </c>
      <c r="E179" s="10" t="str">
        <f>IFERROR(VLOOKUP(B179&amp;"-"&amp;C179, '💾 學生體重資料庫'!$A:$I, 8, FALSE), "")</f>
        <v/>
      </c>
      <c r="F179" s="11"/>
      <c r="G179" s="12" t="str">
        <f t="shared" si="4"/>
        <v/>
      </c>
      <c r="H179" s="13" t="str">
        <f t="shared" si="5"/>
        <v/>
      </c>
      <c r="I179" s="14"/>
      <c r="J179" s="14"/>
    </row>
    <row r="180" spans="1:10" ht="22" customHeight="1">
      <c r="A180" s="6">
        <v>173</v>
      </c>
      <c r="B180" s="7" t="s">
        <v>25</v>
      </c>
      <c r="C180" s="8"/>
      <c r="D180" s="9" t="str">
        <f>IFERROR(VLOOKUP(B180&amp;"-"&amp;C180, '💾 學生體重資料庫'!$A:$I, 4, FALSE), "")</f>
        <v/>
      </c>
      <c r="E180" s="10" t="str">
        <f>IFERROR(VLOOKUP(B180&amp;"-"&amp;C180, '💾 學生體重資料庫'!$A:$I, 8, FALSE), "")</f>
        <v/>
      </c>
      <c r="F180" s="11"/>
      <c r="G180" s="12" t="str">
        <f t="shared" si="4"/>
        <v/>
      </c>
      <c r="H180" s="13" t="str">
        <f t="shared" si="5"/>
        <v/>
      </c>
      <c r="I180" s="14"/>
      <c r="J180" s="14"/>
    </row>
    <row r="181" spans="1:10" ht="22" customHeight="1">
      <c r="A181" s="15">
        <v>174</v>
      </c>
      <c r="B181" s="16" t="s">
        <v>25</v>
      </c>
      <c r="C181" s="8"/>
      <c r="D181" s="9" t="str">
        <f>IFERROR(VLOOKUP(B181&amp;"-"&amp;C181, '💾 學生體重資料庫'!$A:$I, 4, FALSE), "")</f>
        <v/>
      </c>
      <c r="E181" s="10" t="str">
        <f>IFERROR(VLOOKUP(B181&amp;"-"&amp;C181, '💾 學生體重資料庫'!$A:$I, 8, FALSE), "")</f>
        <v/>
      </c>
      <c r="F181" s="11"/>
      <c r="G181" s="12" t="str">
        <f t="shared" si="4"/>
        <v/>
      </c>
      <c r="H181" s="13" t="str">
        <f t="shared" si="5"/>
        <v/>
      </c>
      <c r="I181" s="14"/>
      <c r="J181" s="14"/>
    </row>
    <row r="182" spans="1:10" ht="22" customHeight="1">
      <c r="A182" s="6">
        <v>175</v>
      </c>
      <c r="B182" s="7" t="s">
        <v>25</v>
      </c>
      <c r="C182" s="8"/>
      <c r="D182" s="9" t="str">
        <f>IFERROR(VLOOKUP(B182&amp;"-"&amp;C182, '💾 學生體重資料庫'!$A:$I, 4, FALSE), "")</f>
        <v/>
      </c>
      <c r="E182" s="10" t="str">
        <f>IFERROR(VLOOKUP(B182&amp;"-"&amp;C182, '💾 學生體重資料庫'!$A:$I, 8, FALSE), "")</f>
        <v/>
      </c>
      <c r="F182" s="11"/>
      <c r="G182" s="12" t="str">
        <f t="shared" si="4"/>
        <v/>
      </c>
      <c r="H182" s="13" t="str">
        <f t="shared" si="5"/>
        <v/>
      </c>
      <c r="I182" s="14"/>
      <c r="J182" s="14"/>
    </row>
    <row r="183" spans="1:10" ht="22" customHeight="1">
      <c r="A183" s="15">
        <v>176</v>
      </c>
      <c r="B183" s="16" t="s">
        <v>25</v>
      </c>
      <c r="C183" s="8"/>
      <c r="D183" s="9" t="str">
        <f>IFERROR(VLOOKUP(B183&amp;"-"&amp;C183, '💾 學生體重資料庫'!$A:$I, 4, FALSE), "")</f>
        <v/>
      </c>
      <c r="E183" s="10" t="str">
        <f>IFERROR(VLOOKUP(B183&amp;"-"&amp;C183, '💾 學生體重資料庫'!$A:$I, 8, FALSE), "")</f>
        <v/>
      </c>
      <c r="F183" s="11"/>
      <c r="G183" s="12" t="str">
        <f t="shared" si="4"/>
        <v/>
      </c>
      <c r="H183" s="13" t="str">
        <f t="shared" si="5"/>
        <v/>
      </c>
      <c r="I183" s="14"/>
      <c r="J183" s="14"/>
    </row>
    <row r="184" spans="1:10" ht="22" customHeight="1">
      <c r="A184" s="6">
        <v>177</v>
      </c>
      <c r="B184" s="7" t="s">
        <v>26</v>
      </c>
      <c r="C184" s="8"/>
      <c r="D184" s="9" t="str">
        <f>IFERROR(VLOOKUP(B184&amp;"-"&amp;C184, '💾 學生體重資料庫'!$A:$I, 4, FALSE), "")</f>
        <v/>
      </c>
      <c r="E184" s="10" t="str">
        <f>IFERROR(VLOOKUP(B184&amp;"-"&amp;C184, '💾 學生體重資料庫'!$A:$I, 8, FALSE), "")</f>
        <v/>
      </c>
      <c r="F184" s="11"/>
      <c r="G184" s="12" t="str">
        <f t="shared" si="4"/>
        <v/>
      </c>
      <c r="H184" s="13" t="str">
        <f t="shared" si="5"/>
        <v/>
      </c>
      <c r="I184" s="14"/>
      <c r="J184" s="14"/>
    </row>
    <row r="185" spans="1:10" ht="22" customHeight="1">
      <c r="A185" s="15">
        <v>178</v>
      </c>
      <c r="B185" s="16" t="s">
        <v>26</v>
      </c>
      <c r="C185" s="8"/>
      <c r="D185" s="9" t="str">
        <f>IFERROR(VLOOKUP(B185&amp;"-"&amp;C185, '💾 學生體重資料庫'!$A:$I, 4, FALSE), "")</f>
        <v/>
      </c>
      <c r="E185" s="10" t="str">
        <f>IFERROR(VLOOKUP(B185&amp;"-"&amp;C185, '💾 學生體重資料庫'!$A:$I, 8, FALSE), "")</f>
        <v/>
      </c>
      <c r="F185" s="11"/>
      <c r="G185" s="12" t="str">
        <f t="shared" si="4"/>
        <v/>
      </c>
      <c r="H185" s="13" t="str">
        <f t="shared" si="5"/>
        <v/>
      </c>
      <c r="I185" s="14"/>
      <c r="J185" s="14"/>
    </row>
    <row r="186" spans="1:10" ht="22" customHeight="1">
      <c r="A186" s="6">
        <v>179</v>
      </c>
      <c r="B186" s="7" t="s">
        <v>26</v>
      </c>
      <c r="C186" s="8"/>
      <c r="D186" s="9" t="str">
        <f>IFERROR(VLOOKUP(B186&amp;"-"&amp;C186, '💾 學生體重資料庫'!$A:$I, 4, FALSE), "")</f>
        <v/>
      </c>
      <c r="E186" s="10" t="str">
        <f>IFERROR(VLOOKUP(B186&amp;"-"&amp;C186, '💾 學生體重資料庫'!$A:$I, 8, FALSE), "")</f>
        <v/>
      </c>
      <c r="F186" s="11"/>
      <c r="G186" s="12" t="str">
        <f t="shared" si="4"/>
        <v/>
      </c>
      <c r="H186" s="13" t="str">
        <f t="shared" si="5"/>
        <v/>
      </c>
      <c r="I186" s="14"/>
      <c r="J186" s="14"/>
    </row>
    <row r="187" spans="1:10" ht="22" customHeight="1">
      <c r="A187" s="15">
        <v>180</v>
      </c>
      <c r="B187" s="16" t="s">
        <v>26</v>
      </c>
      <c r="C187" s="8"/>
      <c r="D187" s="9" t="str">
        <f>IFERROR(VLOOKUP(B187&amp;"-"&amp;C187, '💾 學生體重資料庫'!$A:$I, 4, FALSE), "")</f>
        <v/>
      </c>
      <c r="E187" s="10" t="str">
        <f>IFERROR(VLOOKUP(B187&amp;"-"&amp;C187, '💾 學生體重資料庫'!$A:$I, 8, FALSE), "")</f>
        <v/>
      </c>
      <c r="F187" s="11"/>
      <c r="G187" s="12" t="str">
        <f t="shared" si="4"/>
        <v/>
      </c>
      <c r="H187" s="13" t="str">
        <f t="shared" si="5"/>
        <v/>
      </c>
      <c r="I187" s="14"/>
      <c r="J187" s="14"/>
    </row>
    <row r="188" spans="1:10" ht="22" customHeight="1">
      <c r="A188" s="6">
        <v>181</v>
      </c>
      <c r="B188" s="7" t="s">
        <v>26</v>
      </c>
      <c r="C188" s="8"/>
      <c r="D188" s="9" t="str">
        <f>IFERROR(VLOOKUP(B188&amp;"-"&amp;C188, '💾 學生體重資料庫'!$A:$I, 4, FALSE), "")</f>
        <v/>
      </c>
      <c r="E188" s="10" t="str">
        <f>IFERROR(VLOOKUP(B188&amp;"-"&amp;C188, '💾 學生體重資料庫'!$A:$I, 8, FALSE), "")</f>
        <v/>
      </c>
      <c r="F188" s="11"/>
      <c r="G188" s="12" t="str">
        <f t="shared" si="4"/>
        <v/>
      </c>
      <c r="H188" s="13" t="str">
        <f t="shared" si="5"/>
        <v/>
      </c>
      <c r="I188" s="14"/>
      <c r="J188" s="14"/>
    </row>
    <row r="189" spans="1:10" ht="22" customHeight="1">
      <c r="A189" s="15">
        <v>182</v>
      </c>
      <c r="B189" s="16" t="s">
        <v>26</v>
      </c>
      <c r="C189" s="8"/>
      <c r="D189" s="9" t="str">
        <f>IFERROR(VLOOKUP(B189&amp;"-"&amp;C189, '💾 學生體重資料庫'!$A:$I, 4, FALSE), "")</f>
        <v/>
      </c>
      <c r="E189" s="10" t="str">
        <f>IFERROR(VLOOKUP(B189&amp;"-"&amp;C189, '💾 學生體重資料庫'!$A:$I, 8, FALSE), "")</f>
        <v/>
      </c>
      <c r="F189" s="11"/>
      <c r="G189" s="12" t="str">
        <f t="shared" si="4"/>
        <v/>
      </c>
      <c r="H189" s="13" t="str">
        <f t="shared" si="5"/>
        <v/>
      </c>
      <c r="I189" s="14"/>
      <c r="J189" s="14"/>
    </row>
    <row r="190" spans="1:10" ht="22" customHeight="1">
      <c r="A190" s="6">
        <v>183</v>
      </c>
      <c r="B190" s="7" t="s">
        <v>26</v>
      </c>
      <c r="C190" s="8"/>
      <c r="D190" s="9" t="str">
        <f>IFERROR(VLOOKUP(B190&amp;"-"&amp;C190, '💾 學生體重資料庫'!$A:$I, 4, FALSE), "")</f>
        <v/>
      </c>
      <c r="E190" s="10" t="str">
        <f>IFERROR(VLOOKUP(B190&amp;"-"&amp;C190, '💾 學生體重資料庫'!$A:$I, 8, FALSE), "")</f>
        <v/>
      </c>
      <c r="F190" s="11"/>
      <c r="G190" s="12" t="str">
        <f t="shared" si="4"/>
        <v/>
      </c>
      <c r="H190" s="13" t="str">
        <f t="shared" si="5"/>
        <v/>
      </c>
      <c r="I190" s="14"/>
      <c r="J190" s="14"/>
    </row>
    <row r="191" spans="1:10" ht="22" customHeight="1">
      <c r="A191" s="15">
        <v>184</v>
      </c>
      <c r="B191" s="16" t="s">
        <v>26</v>
      </c>
      <c r="C191" s="8"/>
      <c r="D191" s="9" t="str">
        <f>IFERROR(VLOOKUP(B191&amp;"-"&amp;C191, '💾 學生體重資料庫'!$A:$I, 4, FALSE), "")</f>
        <v/>
      </c>
      <c r="E191" s="10" t="str">
        <f>IFERROR(VLOOKUP(B191&amp;"-"&amp;C191, '💾 學生體重資料庫'!$A:$I, 8, FALSE), "")</f>
        <v/>
      </c>
      <c r="F191" s="11"/>
      <c r="G191" s="12" t="str">
        <f t="shared" si="4"/>
        <v/>
      </c>
      <c r="H191" s="13" t="str">
        <f t="shared" si="5"/>
        <v/>
      </c>
      <c r="I191" s="14"/>
      <c r="J191" s="14"/>
    </row>
    <row r="192" spans="1:10" ht="22" customHeight="1">
      <c r="A192" s="6">
        <v>185</v>
      </c>
      <c r="B192" s="7" t="s">
        <v>26</v>
      </c>
      <c r="C192" s="8"/>
      <c r="D192" s="9" t="str">
        <f>IFERROR(VLOOKUP(B192&amp;"-"&amp;C192, '💾 學生體重資料庫'!$A:$I, 4, FALSE), "")</f>
        <v/>
      </c>
      <c r="E192" s="10" t="str">
        <f>IFERROR(VLOOKUP(B192&amp;"-"&amp;C192, '💾 學生體重資料庫'!$A:$I, 8, FALSE), "")</f>
        <v/>
      </c>
      <c r="F192" s="11"/>
      <c r="G192" s="12" t="str">
        <f t="shared" si="4"/>
        <v/>
      </c>
      <c r="H192" s="13" t="str">
        <f t="shared" si="5"/>
        <v/>
      </c>
      <c r="I192" s="14"/>
      <c r="J192" s="14"/>
    </row>
    <row r="193" spans="1:10" ht="22" customHeight="1">
      <c r="A193" s="15">
        <v>186</v>
      </c>
      <c r="B193" s="16" t="s">
        <v>26</v>
      </c>
      <c r="C193" s="8"/>
      <c r="D193" s="9" t="str">
        <f>IFERROR(VLOOKUP(B193&amp;"-"&amp;C193, '💾 學生體重資料庫'!$A:$I, 4, FALSE), "")</f>
        <v/>
      </c>
      <c r="E193" s="10" t="str">
        <f>IFERROR(VLOOKUP(B193&amp;"-"&amp;C193, '💾 學生體重資料庫'!$A:$I, 8, FALSE), "")</f>
        <v/>
      </c>
      <c r="F193" s="11"/>
      <c r="G193" s="12" t="str">
        <f t="shared" si="4"/>
        <v/>
      </c>
      <c r="H193" s="13" t="str">
        <f t="shared" si="5"/>
        <v/>
      </c>
      <c r="I193" s="14"/>
      <c r="J193" s="14"/>
    </row>
    <row r="194" spans="1:10" ht="22" customHeight="1">
      <c r="A194" s="6">
        <v>187</v>
      </c>
      <c r="B194" s="7" t="s">
        <v>26</v>
      </c>
      <c r="C194" s="8"/>
      <c r="D194" s="9" t="str">
        <f>IFERROR(VLOOKUP(B194&amp;"-"&amp;C194, '💾 學生體重資料庫'!$A:$I, 4, FALSE), "")</f>
        <v/>
      </c>
      <c r="E194" s="10" t="str">
        <f>IFERROR(VLOOKUP(B194&amp;"-"&amp;C194, '💾 學生體重資料庫'!$A:$I, 8, FALSE), "")</f>
        <v/>
      </c>
      <c r="F194" s="11"/>
      <c r="G194" s="12" t="str">
        <f t="shared" si="4"/>
        <v/>
      </c>
      <c r="H194" s="13" t="str">
        <f t="shared" si="5"/>
        <v/>
      </c>
      <c r="I194" s="14"/>
      <c r="J194" s="14"/>
    </row>
    <row r="195" spans="1:10" ht="22" customHeight="1">
      <c r="A195" s="15">
        <v>188</v>
      </c>
      <c r="B195" s="16" t="s">
        <v>27</v>
      </c>
      <c r="C195" s="8"/>
      <c r="D195" s="9" t="str">
        <f>IFERROR(VLOOKUP(B195&amp;"-"&amp;C195, '💾 學生體重資料庫'!$A:$I, 4, FALSE), "")</f>
        <v/>
      </c>
      <c r="E195" s="10" t="str">
        <f>IFERROR(VLOOKUP(B195&amp;"-"&amp;C195, '💾 學生體重資料庫'!$A:$I, 8, FALSE), "")</f>
        <v/>
      </c>
      <c r="F195" s="11"/>
      <c r="G195" s="12" t="str">
        <f t="shared" si="4"/>
        <v/>
      </c>
      <c r="H195" s="13" t="str">
        <f t="shared" si="5"/>
        <v/>
      </c>
      <c r="I195" s="14"/>
      <c r="J195" s="14"/>
    </row>
    <row r="196" spans="1:10" ht="22" customHeight="1">
      <c r="A196" s="6">
        <v>189</v>
      </c>
      <c r="B196" s="7" t="s">
        <v>27</v>
      </c>
      <c r="C196" s="8"/>
      <c r="D196" s="9" t="str">
        <f>IFERROR(VLOOKUP(B196&amp;"-"&amp;C196, '💾 學生體重資料庫'!$A:$I, 4, FALSE), "")</f>
        <v/>
      </c>
      <c r="E196" s="10" t="str">
        <f>IFERROR(VLOOKUP(B196&amp;"-"&amp;C196, '💾 學生體重資料庫'!$A:$I, 8, FALSE), "")</f>
        <v/>
      </c>
      <c r="F196" s="11"/>
      <c r="G196" s="12" t="str">
        <f t="shared" si="4"/>
        <v/>
      </c>
      <c r="H196" s="13" t="str">
        <f t="shared" si="5"/>
        <v/>
      </c>
      <c r="I196" s="14"/>
      <c r="J196" s="14"/>
    </row>
    <row r="197" spans="1:10" ht="22" customHeight="1">
      <c r="A197" s="15">
        <v>190</v>
      </c>
      <c r="B197" s="16" t="s">
        <v>27</v>
      </c>
      <c r="C197" s="8"/>
      <c r="D197" s="9" t="str">
        <f>IFERROR(VLOOKUP(B197&amp;"-"&amp;C197, '💾 學生體重資料庫'!$A:$I, 4, FALSE), "")</f>
        <v/>
      </c>
      <c r="E197" s="10" t="str">
        <f>IFERROR(VLOOKUP(B197&amp;"-"&amp;C197, '💾 學生體重資料庫'!$A:$I, 8, FALSE), "")</f>
        <v/>
      </c>
      <c r="F197" s="11"/>
      <c r="G197" s="12" t="str">
        <f t="shared" si="4"/>
        <v/>
      </c>
      <c r="H197" s="13" t="str">
        <f t="shared" si="5"/>
        <v/>
      </c>
      <c r="I197" s="14"/>
      <c r="J197" s="14"/>
    </row>
    <row r="198" spans="1:10" ht="22" customHeight="1">
      <c r="A198" s="6">
        <v>191</v>
      </c>
      <c r="B198" s="7" t="s">
        <v>27</v>
      </c>
      <c r="C198" s="8"/>
      <c r="D198" s="9" t="str">
        <f>IFERROR(VLOOKUP(B198&amp;"-"&amp;C198, '💾 學生體重資料庫'!$A:$I, 4, FALSE), "")</f>
        <v/>
      </c>
      <c r="E198" s="10" t="str">
        <f>IFERROR(VLOOKUP(B198&amp;"-"&amp;C198, '💾 學生體重資料庫'!$A:$I, 8, FALSE), "")</f>
        <v/>
      </c>
      <c r="F198" s="11"/>
      <c r="G198" s="12" t="str">
        <f t="shared" si="4"/>
        <v/>
      </c>
      <c r="H198" s="13" t="str">
        <f t="shared" si="5"/>
        <v/>
      </c>
      <c r="I198" s="14"/>
      <c r="J198" s="14"/>
    </row>
    <row r="199" spans="1:10" ht="22" customHeight="1">
      <c r="A199" s="15">
        <v>192</v>
      </c>
      <c r="B199" s="16" t="s">
        <v>27</v>
      </c>
      <c r="C199" s="8"/>
      <c r="D199" s="9" t="str">
        <f>IFERROR(VLOOKUP(B199&amp;"-"&amp;C199, '💾 學生體重資料庫'!$A:$I, 4, FALSE), "")</f>
        <v/>
      </c>
      <c r="E199" s="10" t="str">
        <f>IFERROR(VLOOKUP(B199&amp;"-"&amp;C199, '💾 學生體重資料庫'!$A:$I, 8, FALSE), "")</f>
        <v/>
      </c>
      <c r="F199" s="11"/>
      <c r="G199" s="12" t="str">
        <f t="shared" si="4"/>
        <v/>
      </c>
      <c r="H199" s="13" t="str">
        <f t="shared" si="5"/>
        <v/>
      </c>
      <c r="I199" s="14"/>
      <c r="J199" s="14"/>
    </row>
    <row r="200" spans="1:10" ht="22" customHeight="1">
      <c r="A200" s="6">
        <v>193</v>
      </c>
      <c r="B200" s="7" t="s">
        <v>27</v>
      </c>
      <c r="C200" s="8"/>
      <c r="D200" s="9" t="str">
        <f>IFERROR(VLOOKUP(B200&amp;"-"&amp;C200, '💾 學生體重資料庫'!$A:$I, 4, FALSE), "")</f>
        <v/>
      </c>
      <c r="E200" s="10" t="str">
        <f>IFERROR(VLOOKUP(B200&amp;"-"&amp;C200, '💾 學生體重資料庫'!$A:$I, 8, FALSE), "")</f>
        <v/>
      </c>
      <c r="F200" s="11"/>
      <c r="G200" s="12" t="str">
        <f t="shared" ref="G200:G227" si="6">IF(OR(NOT(ISNUMBER(E200)), NOT(ISNUMBER(F200)), E200=0), "", F200/E200)</f>
        <v/>
      </c>
      <c r="H200" s="13" t="str">
        <f t="shared" ref="H200:H227" si="7">IF(G200="", "", IF(G200&lt;=0.15, "達標", "超重"))</f>
        <v/>
      </c>
      <c r="I200" s="14"/>
      <c r="J200" s="14"/>
    </row>
    <row r="201" spans="1:10" ht="22" customHeight="1">
      <c r="A201" s="15">
        <v>194</v>
      </c>
      <c r="B201" s="16" t="s">
        <v>27</v>
      </c>
      <c r="C201" s="8"/>
      <c r="D201" s="9" t="str">
        <f>IFERROR(VLOOKUP(B201&amp;"-"&amp;C201, '💾 學生體重資料庫'!$A:$I, 4, FALSE), "")</f>
        <v/>
      </c>
      <c r="E201" s="10" t="str">
        <f>IFERROR(VLOOKUP(B201&amp;"-"&amp;C201, '💾 學生體重資料庫'!$A:$I, 8, FALSE), "")</f>
        <v/>
      </c>
      <c r="F201" s="11"/>
      <c r="G201" s="12" t="str">
        <f t="shared" si="6"/>
        <v/>
      </c>
      <c r="H201" s="13" t="str">
        <f t="shared" si="7"/>
        <v/>
      </c>
      <c r="I201" s="14"/>
      <c r="J201" s="14"/>
    </row>
    <row r="202" spans="1:10" ht="22" customHeight="1">
      <c r="A202" s="6">
        <v>195</v>
      </c>
      <c r="B202" s="7" t="s">
        <v>27</v>
      </c>
      <c r="C202" s="8"/>
      <c r="D202" s="9" t="str">
        <f>IFERROR(VLOOKUP(B202&amp;"-"&amp;C202, '💾 學生體重資料庫'!$A:$I, 4, FALSE), "")</f>
        <v/>
      </c>
      <c r="E202" s="10" t="str">
        <f>IFERROR(VLOOKUP(B202&amp;"-"&amp;C202, '💾 學生體重資料庫'!$A:$I, 8, FALSE), "")</f>
        <v/>
      </c>
      <c r="F202" s="11"/>
      <c r="G202" s="12" t="str">
        <f t="shared" si="6"/>
        <v/>
      </c>
      <c r="H202" s="13" t="str">
        <f t="shared" si="7"/>
        <v/>
      </c>
      <c r="I202" s="14"/>
      <c r="J202" s="14"/>
    </row>
    <row r="203" spans="1:10" ht="22" customHeight="1">
      <c r="A203" s="15">
        <v>196</v>
      </c>
      <c r="B203" s="16" t="s">
        <v>27</v>
      </c>
      <c r="C203" s="8"/>
      <c r="D203" s="9" t="str">
        <f>IFERROR(VLOOKUP(B203&amp;"-"&amp;C203, '💾 學生體重資料庫'!$A:$I, 4, FALSE), "")</f>
        <v/>
      </c>
      <c r="E203" s="10" t="str">
        <f>IFERROR(VLOOKUP(B203&amp;"-"&amp;C203, '💾 學生體重資料庫'!$A:$I, 8, FALSE), "")</f>
        <v/>
      </c>
      <c r="F203" s="11"/>
      <c r="G203" s="12" t="str">
        <f t="shared" si="6"/>
        <v/>
      </c>
      <c r="H203" s="13" t="str">
        <f t="shared" si="7"/>
        <v/>
      </c>
      <c r="I203" s="14"/>
      <c r="J203" s="14"/>
    </row>
    <row r="204" spans="1:10" ht="22" customHeight="1">
      <c r="A204" s="6">
        <v>197</v>
      </c>
      <c r="B204" s="7" t="s">
        <v>27</v>
      </c>
      <c r="C204" s="8"/>
      <c r="D204" s="9" t="str">
        <f>IFERROR(VLOOKUP(B204&amp;"-"&amp;C204, '💾 學生體重資料庫'!$A:$I, 4, FALSE), "")</f>
        <v/>
      </c>
      <c r="E204" s="10" t="str">
        <f>IFERROR(VLOOKUP(B204&amp;"-"&amp;C204, '💾 學生體重資料庫'!$A:$I, 8, FALSE), "")</f>
        <v/>
      </c>
      <c r="F204" s="11"/>
      <c r="G204" s="12" t="str">
        <f t="shared" si="6"/>
        <v/>
      </c>
      <c r="H204" s="13" t="str">
        <f t="shared" si="7"/>
        <v/>
      </c>
      <c r="I204" s="14"/>
      <c r="J204" s="14"/>
    </row>
    <row r="205" spans="1:10" ht="22" customHeight="1">
      <c r="A205" s="15">
        <v>198</v>
      </c>
      <c r="B205" s="16" t="s">
        <v>27</v>
      </c>
      <c r="C205" s="8"/>
      <c r="D205" s="9" t="str">
        <f>IFERROR(VLOOKUP(B205&amp;"-"&amp;C205, '💾 學生體重資料庫'!$A:$I, 4, FALSE), "")</f>
        <v/>
      </c>
      <c r="E205" s="10" t="str">
        <f>IFERROR(VLOOKUP(B205&amp;"-"&amp;C205, '💾 學生體重資料庫'!$A:$I, 8, FALSE), "")</f>
        <v/>
      </c>
      <c r="F205" s="11"/>
      <c r="G205" s="12" t="str">
        <f t="shared" si="6"/>
        <v/>
      </c>
      <c r="H205" s="13" t="str">
        <f t="shared" si="7"/>
        <v/>
      </c>
      <c r="I205" s="14"/>
      <c r="J205" s="14"/>
    </row>
    <row r="206" spans="1:10" ht="22" customHeight="1">
      <c r="A206" s="6">
        <v>199</v>
      </c>
      <c r="B206" s="7" t="s">
        <v>28</v>
      </c>
      <c r="C206" s="8"/>
      <c r="D206" s="9" t="str">
        <f>IFERROR(VLOOKUP(B206&amp;"-"&amp;C206, '💾 學生體重資料庫'!$A:$I, 4, FALSE), "")</f>
        <v/>
      </c>
      <c r="E206" s="10" t="str">
        <f>IFERROR(VLOOKUP(B206&amp;"-"&amp;C206, '💾 學生體重資料庫'!$A:$I, 8, FALSE), "")</f>
        <v/>
      </c>
      <c r="F206" s="11"/>
      <c r="G206" s="12" t="str">
        <f t="shared" si="6"/>
        <v/>
      </c>
      <c r="H206" s="13" t="str">
        <f t="shared" si="7"/>
        <v/>
      </c>
      <c r="I206" s="14"/>
      <c r="J206" s="14"/>
    </row>
    <row r="207" spans="1:10" ht="22" customHeight="1">
      <c r="A207" s="15">
        <v>200</v>
      </c>
      <c r="B207" s="16" t="s">
        <v>28</v>
      </c>
      <c r="C207" s="8"/>
      <c r="D207" s="9" t="str">
        <f>IFERROR(VLOOKUP(B207&amp;"-"&amp;C207, '💾 學生體重資料庫'!$A:$I, 4, FALSE), "")</f>
        <v/>
      </c>
      <c r="E207" s="10" t="str">
        <f>IFERROR(VLOOKUP(B207&amp;"-"&amp;C207, '💾 學生體重資料庫'!$A:$I, 8, FALSE), "")</f>
        <v/>
      </c>
      <c r="F207" s="11"/>
      <c r="G207" s="12" t="str">
        <f t="shared" si="6"/>
        <v/>
      </c>
      <c r="H207" s="13" t="str">
        <f t="shared" si="7"/>
        <v/>
      </c>
      <c r="I207" s="14"/>
      <c r="J207" s="14"/>
    </row>
    <row r="208" spans="1:10" ht="22" customHeight="1">
      <c r="A208" s="6">
        <v>201</v>
      </c>
      <c r="B208" s="7" t="s">
        <v>28</v>
      </c>
      <c r="C208" s="8"/>
      <c r="D208" s="9" t="str">
        <f>IFERROR(VLOOKUP(B208&amp;"-"&amp;C208, '💾 學生體重資料庫'!$A:$I, 4, FALSE), "")</f>
        <v/>
      </c>
      <c r="E208" s="10" t="str">
        <f>IFERROR(VLOOKUP(B208&amp;"-"&amp;C208, '💾 學生體重資料庫'!$A:$I, 8, FALSE), "")</f>
        <v/>
      </c>
      <c r="F208" s="11"/>
      <c r="G208" s="12" t="str">
        <f t="shared" si="6"/>
        <v/>
      </c>
      <c r="H208" s="13" t="str">
        <f t="shared" si="7"/>
        <v/>
      </c>
      <c r="I208" s="14"/>
      <c r="J208" s="14"/>
    </row>
    <row r="209" spans="1:10" ht="22" customHeight="1">
      <c r="A209" s="15">
        <v>202</v>
      </c>
      <c r="B209" s="16" t="s">
        <v>28</v>
      </c>
      <c r="C209" s="8"/>
      <c r="D209" s="9" t="str">
        <f>IFERROR(VLOOKUP(B209&amp;"-"&amp;C209, '💾 學生體重資料庫'!$A:$I, 4, FALSE), "")</f>
        <v/>
      </c>
      <c r="E209" s="10" t="str">
        <f>IFERROR(VLOOKUP(B209&amp;"-"&amp;C209, '💾 學生體重資料庫'!$A:$I, 8, FALSE), "")</f>
        <v/>
      </c>
      <c r="F209" s="11"/>
      <c r="G209" s="12" t="str">
        <f t="shared" si="6"/>
        <v/>
      </c>
      <c r="H209" s="13" t="str">
        <f t="shared" si="7"/>
        <v/>
      </c>
      <c r="I209" s="14"/>
      <c r="J209" s="14"/>
    </row>
    <row r="210" spans="1:10" ht="22" customHeight="1">
      <c r="A210" s="6">
        <v>203</v>
      </c>
      <c r="B210" s="7" t="s">
        <v>28</v>
      </c>
      <c r="C210" s="8"/>
      <c r="D210" s="9" t="str">
        <f>IFERROR(VLOOKUP(B210&amp;"-"&amp;C210, '💾 學生體重資料庫'!$A:$I, 4, FALSE), "")</f>
        <v/>
      </c>
      <c r="E210" s="10" t="str">
        <f>IFERROR(VLOOKUP(B210&amp;"-"&amp;C210, '💾 學生體重資料庫'!$A:$I, 8, FALSE), "")</f>
        <v/>
      </c>
      <c r="F210" s="11"/>
      <c r="G210" s="12" t="str">
        <f t="shared" si="6"/>
        <v/>
      </c>
      <c r="H210" s="13" t="str">
        <f t="shared" si="7"/>
        <v/>
      </c>
      <c r="I210" s="14"/>
      <c r="J210" s="14"/>
    </row>
    <row r="211" spans="1:10" ht="22" customHeight="1">
      <c r="A211" s="15">
        <v>204</v>
      </c>
      <c r="B211" s="16" t="s">
        <v>28</v>
      </c>
      <c r="C211" s="8"/>
      <c r="D211" s="9" t="str">
        <f>IFERROR(VLOOKUP(B211&amp;"-"&amp;C211, '💾 學生體重資料庫'!$A:$I, 4, FALSE), "")</f>
        <v/>
      </c>
      <c r="E211" s="10" t="str">
        <f>IFERROR(VLOOKUP(B211&amp;"-"&amp;C211, '💾 學生體重資料庫'!$A:$I, 8, FALSE), "")</f>
        <v/>
      </c>
      <c r="F211" s="11"/>
      <c r="G211" s="12" t="str">
        <f t="shared" si="6"/>
        <v/>
      </c>
      <c r="H211" s="13" t="str">
        <f t="shared" si="7"/>
        <v/>
      </c>
      <c r="I211" s="14"/>
      <c r="J211" s="14"/>
    </row>
    <row r="212" spans="1:10" ht="22" customHeight="1">
      <c r="A212" s="6">
        <v>205</v>
      </c>
      <c r="B212" s="7" t="s">
        <v>28</v>
      </c>
      <c r="C212" s="8"/>
      <c r="D212" s="9" t="str">
        <f>IFERROR(VLOOKUP(B212&amp;"-"&amp;C212, '💾 學生體重資料庫'!$A:$I, 4, FALSE), "")</f>
        <v/>
      </c>
      <c r="E212" s="10" t="str">
        <f>IFERROR(VLOOKUP(B212&amp;"-"&amp;C212, '💾 學生體重資料庫'!$A:$I, 8, FALSE), "")</f>
        <v/>
      </c>
      <c r="F212" s="11"/>
      <c r="G212" s="12" t="str">
        <f t="shared" si="6"/>
        <v/>
      </c>
      <c r="H212" s="13" t="str">
        <f t="shared" si="7"/>
        <v/>
      </c>
      <c r="I212" s="14"/>
      <c r="J212" s="14"/>
    </row>
    <row r="213" spans="1:10" ht="22" customHeight="1">
      <c r="A213" s="15">
        <v>206</v>
      </c>
      <c r="B213" s="16" t="s">
        <v>28</v>
      </c>
      <c r="C213" s="8"/>
      <c r="D213" s="9" t="str">
        <f>IFERROR(VLOOKUP(B213&amp;"-"&amp;C213, '💾 學生體重資料庫'!$A:$I, 4, FALSE), "")</f>
        <v/>
      </c>
      <c r="E213" s="10" t="str">
        <f>IFERROR(VLOOKUP(B213&amp;"-"&amp;C213, '💾 學生體重資料庫'!$A:$I, 8, FALSE), "")</f>
        <v/>
      </c>
      <c r="F213" s="11"/>
      <c r="G213" s="12" t="str">
        <f t="shared" si="6"/>
        <v/>
      </c>
      <c r="H213" s="13" t="str">
        <f t="shared" si="7"/>
        <v/>
      </c>
      <c r="I213" s="14"/>
      <c r="J213" s="14"/>
    </row>
    <row r="214" spans="1:10" ht="22" customHeight="1">
      <c r="A214" s="6">
        <v>207</v>
      </c>
      <c r="B214" s="7" t="s">
        <v>28</v>
      </c>
      <c r="C214" s="8"/>
      <c r="D214" s="9" t="str">
        <f>IFERROR(VLOOKUP(B214&amp;"-"&amp;C214, '💾 學生體重資料庫'!$A:$I, 4, FALSE), "")</f>
        <v/>
      </c>
      <c r="E214" s="10" t="str">
        <f>IFERROR(VLOOKUP(B214&amp;"-"&amp;C214, '💾 學生體重資料庫'!$A:$I, 8, FALSE), "")</f>
        <v/>
      </c>
      <c r="F214" s="11"/>
      <c r="G214" s="12" t="str">
        <f t="shared" si="6"/>
        <v/>
      </c>
      <c r="H214" s="13" t="str">
        <f t="shared" si="7"/>
        <v/>
      </c>
      <c r="I214" s="14"/>
      <c r="J214" s="14"/>
    </row>
    <row r="215" spans="1:10" ht="22" customHeight="1">
      <c r="A215" s="15">
        <v>208</v>
      </c>
      <c r="B215" s="16" t="s">
        <v>28</v>
      </c>
      <c r="C215" s="8"/>
      <c r="D215" s="9" t="str">
        <f>IFERROR(VLOOKUP(B215&amp;"-"&amp;C215, '💾 學生體重資料庫'!$A:$I, 4, FALSE), "")</f>
        <v/>
      </c>
      <c r="E215" s="10" t="str">
        <f>IFERROR(VLOOKUP(B215&amp;"-"&amp;C215, '💾 學生體重資料庫'!$A:$I, 8, FALSE), "")</f>
        <v/>
      </c>
      <c r="F215" s="11"/>
      <c r="G215" s="12" t="str">
        <f t="shared" si="6"/>
        <v/>
      </c>
      <c r="H215" s="13" t="str">
        <f t="shared" si="7"/>
        <v/>
      </c>
      <c r="I215" s="14"/>
      <c r="J215" s="14"/>
    </row>
    <row r="216" spans="1:10" ht="22" customHeight="1">
      <c r="A216" s="6">
        <v>209</v>
      </c>
      <c r="B216" s="7" t="s">
        <v>28</v>
      </c>
      <c r="C216" s="8"/>
      <c r="D216" s="9" t="str">
        <f>IFERROR(VLOOKUP(B216&amp;"-"&amp;C216, '💾 學生體重資料庫'!$A:$I, 4, FALSE), "")</f>
        <v/>
      </c>
      <c r="E216" s="10" t="str">
        <f>IFERROR(VLOOKUP(B216&amp;"-"&amp;C216, '💾 學生體重資料庫'!$A:$I, 8, FALSE), "")</f>
        <v/>
      </c>
      <c r="F216" s="11"/>
      <c r="G216" s="12" t="str">
        <f t="shared" si="6"/>
        <v/>
      </c>
      <c r="H216" s="13" t="str">
        <f t="shared" si="7"/>
        <v/>
      </c>
      <c r="I216" s="14"/>
      <c r="J216" s="14"/>
    </row>
    <row r="217" spans="1:10" ht="22" customHeight="1">
      <c r="A217" s="15">
        <v>210</v>
      </c>
      <c r="B217" s="16" t="s">
        <v>29</v>
      </c>
      <c r="C217" s="8"/>
      <c r="D217" s="9" t="str">
        <f>IFERROR(VLOOKUP(B217&amp;"-"&amp;C217, '💾 學生體重資料庫'!$A:$I, 4, FALSE), "")</f>
        <v/>
      </c>
      <c r="E217" s="10" t="str">
        <f>IFERROR(VLOOKUP(B217&amp;"-"&amp;C217, '💾 學生體重資料庫'!$A:$I, 8, FALSE), "")</f>
        <v/>
      </c>
      <c r="F217" s="11"/>
      <c r="G217" s="12" t="str">
        <f t="shared" si="6"/>
        <v/>
      </c>
      <c r="H217" s="13" t="str">
        <f t="shared" si="7"/>
        <v/>
      </c>
      <c r="I217" s="14"/>
      <c r="J217" s="14"/>
    </row>
    <row r="218" spans="1:10" ht="22" customHeight="1">
      <c r="A218" s="6">
        <v>211</v>
      </c>
      <c r="B218" s="7" t="s">
        <v>29</v>
      </c>
      <c r="C218" s="8"/>
      <c r="D218" s="9" t="str">
        <f>IFERROR(VLOOKUP(B218&amp;"-"&amp;C218, '💾 學生體重資料庫'!$A:$I, 4, FALSE), "")</f>
        <v/>
      </c>
      <c r="E218" s="10" t="str">
        <f>IFERROR(VLOOKUP(B218&amp;"-"&amp;C218, '💾 學生體重資料庫'!$A:$I, 8, FALSE), "")</f>
        <v/>
      </c>
      <c r="F218" s="11"/>
      <c r="G218" s="12" t="str">
        <f t="shared" si="6"/>
        <v/>
      </c>
      <c r="H218" s="13" t="str">
        <f t="shared" si="7"/>
        <v/>
      </c>
      <c r="I218" s="14"/>
      <c r="J218" s="14"/>
    </row>
    <row r="219" spans="1:10" ht="22" customHeight="1">
      <c r="A219" s="15">
        <v>212</v>
      </c>
      <c r="B219" s="16" t="s">
        <v>29</v>
      </c>
      <c r="C219" s="8"/>
      <c r="D219" s="9" t="str">
        <f>IFERROR(VLOOKUP(B219&amp;"-"&amp;C219, '💾 學生體重資料庫'!$A:$I, 4, FALSE), "")</f>
        <v/>
      </c>
      <c r="E219" s="10" t="str">
        <f>IFERROR(VLOOKUP(B219&amp;"-"&amp;C219, '💾 學生體重資料庫'!$A:$I, 8, FALSE), "")</f>
        <v/>
      </c>
      <c r="F219" s="11"/>
      <c r="G219" s="12" t="str">
        <f t="shared" si="6"/>
        <v/>
      </c>
      <c r="H219" s="13" t="str">
        <f t="shared" si="7"/>
        <v/>
      </c>
      <c r="I219" s="14"/>
      <c r="J219" s="14"/>
    </row>
    <row r="220" spans="1:10" ht="22" customHeight="1">
      <c r="A220" s="6">
        <v>213</v>
      </c>
      <c r="B220" s="7" t="s">
        <v>29</v>
      </c>
      <c r="C220" s="8"/>
      <c r="D220" s="9" t="str">
        <f>IFERROR(VLOOKUP(B220&amp;"-"&amp;C220, '💾 學生體重資料庫'!$A:$I, 4, FALSE), "")</f>
        <v/>
      </c>
      <c r="E220" s="10" t="str">
        <f>IFERROR(VLOOKUP(B220&amp;"-"&amp;C220, '💾 學生體重資料庫'!$A:$I, 8, FALSE), "")</f>
        <v/>
      </c>
      <c r="F220" s="11"/>
      <c r="G220" s="12" t="str">
        <f t="shared" si="6"/>
        <v/>
      </c>
      <c r="H220" s="13" t="str">
        <f t="shared" si="7"/>
        <v/>
      </c>
      <c r="I220" s="14"/>
      <c r="J220" s="14"/>
    </row>
    <row r="221" spans="1:10" ht="22" customHeight="1">
      <c r="A221" s="15">
        <v>214</v>
      </c>
      <c r="B221" s="16" t="s">
        <v>29</v>
      </c>
      <c r="C221" s="8"/>
      <c r="D221" s="9" t="str">
        <f>IFERROR(VLOOKUP(B221&amp;"-"&amp;C221, '💾 學生體重資料庫'!$A:$I, 4, FALSE), "")</f>
        <v/>
      </c>
      <c r="E221" s="10" t="str">
        <f>IFERROR(VLOOKUP(B221&amp;"-"&amp;C221, '💾 學生體重資料庫'!$A:$I, 8, FALSE), "")</f>
        <v/>
      </c>
      <c r="F221" s="11"/>
      <c r="G221" s="12" t="str">
        <f t="shared" si="6"/>
        <v/>
      </c>
      <c r="H221" s="13" t="str">
        <f t="shared" si="7"/>
        <v/>
      </c>
      <c r="I221" s="14"/>
      <c r="J221" s="14"/>
    </row>
    <row r="222" spans="1:10" ht="22" customHeight="1">
      <c r="A222" s="6">
        <v>215</v>
      </c>
      <c r="B222" s="7" t="s">
        <v>29</v>
      </c>
      <c r="C222" s="8"/>
      <c r="D222" s="9" t="str">
        <f>IFERROR(VLOOKUP(B222&amp;"-"&amp;C222, '💾 學生體重資料庫'!$A:$I, 4, FALSE), "")</f>
        <v/>
      </c>
      <c r="E222" s="10" t="str">
        <f>IFERROR(VLOOKUP(B222&amp;"-"&amp;C222, '💾 學生體重資料庫'!$A:$I, 8, FALSE), "")</f>
        <v/>
      </c>
      <c r="F222" s="11"/>
      <c r="G222" s="12" t="str">
        <f t="shared" si="6"/>
        <v/>
      </c>
      <c r="H222" s="13" t="str">
        <f t="shared" si="7"/>
        <v/>
      </c>
      <c r="I222" s="14"/>
      <c r="J222" s="14"/>
    </row>
    <row r="223" spans="1:10" ht="22" customHeight="1">
      <c r="A223" s="15">
        <v>216</v>
      </c>
      <c r="B223" s="16" t="s">
        <v>29</v>
      </c>
      <c r="C223" s="8"/>
      <c r="D223" s="9" t="str">
        <f>IFERROR(VLOOKUP(B223&amp;"-"&amp;C223, '💾 學生體重資料庫'!$A:$I, 4, FALSE), "")</f>
        <v/>
      </c>
      <c r="E223" s="10" t="str">
        <f>IFERROR(VLOOKUP(B223&amp;"-"&amp;C223, '💾 學生體重資料庫'!$A:$I, 8, FALSE), "")</f>
        <v/>
      </c>
      <c r="F223" s="11"/>
      <c r="G223" s="12" t="str">
        <f t="shared" si="6"/>
        <v/>
      </c>
      <c r="H223" s="13" t="str">
        <f t="shared" si="7"/>
        <v/>
      </c>
      <c r="I223" s="14"/>
      <c r="J223" s="14"/>
    </row>
    <row r="224" spans="1:10" ht="22" customHeight="1">
      <c r="A224" s="6">
        <v>217</v>
      </c>
      <c r="B224" s="7" t="s">
        <v>29</v>
      </c>
      <c r="C224" s="8"/>
      <c r="D224" s="9" t="str">
        <f>IFERROR(VLOOKUP(B224&amp;"-"&amp;C224, '💾 學生體重資料庫'!$A:$I, 4, FALSE), "")</f>
        <v/>
      </c>
      <c r="E224" s="10" t="str">
        <f>IFERROR(VLOOKUP(B224&amp;"-"&amp;C224, '💾 學生體重資料庫'!$A:$I, 8, FALSE), "")</f>
        <v/>
      </c>
      <c r="F224" s="11"/>
      <c r="G224" s="12" t="str">
        <f t="shared" si="6"/>
        <v/>
      </c>
      <c r="H224" s="13" t="str">
        <f t="shared" si="7"/>
        <v/>
      </c>
      <c r="I224" s="14"/>
      <c r="J224" s="14"/>
    </row>
    <row r="225" spans="1:10" ht="22" customHeight="1">
      <c r="A225" s="15">
        <v>218</v>
      </c>
      <c r="B225" s="16" t="s">
        <v>29</v>
      </c>
      <c r="C225" s="8"/>
      <c r="D225" s="9" t="str">
        <f>IFERROR(VLOOKUP(B225&amp;"-"&amp;C225, '💾 學生體重資料庫'!$A:$I, 4, FALSE), "")</f>
        <v/>
      </c>
      <c r="E225" s="10" t="str">
        <f>IFERROR(VLOOKUP(B225&amp;"-"&amp;C225, '💾 學生體重資料庫'!$A:$I, 8, FALSE), "")</f>
        <v/>
      </c>
      <c r="F225" s="11"/>
      <c r="G225" s="12" t="str">
        <f t="shared" si="6"/>
        <v/>
      </c>
      <c r="H225" s="13" t="str">
        <f t="shared" si="7"/>
        <v/>
      </c>
      <c r="I225" s="14"/>
      <c r="J225" s="14"/>
    </row>
    <row r="226" spans="1:10" ht="22" customHeight="1">
      <c r="A226" s="6">
        <v>219</v>
      </c>
      <c r="B226" s="7" t="s">
        <v>29</v>
      </c>
      <c r="C226" s="8"/>
      <c r="D226" s="9" t="str">
        <f>IFERROR(VLOOKUP(B226&amp;"-"&amp;C226, '💾 學生體重資料庫'!$A:$I, 4, FALSE), "")</f>
        <v/>
      </c>
      <c r="E226" s="10" t="str">
        <f>IFERROR(VLOOKUP(B226&amp;"-"&amp;C226, '💾 學生體重資料庫'!$A:$I, 8, FALSE), "")</f>
        <v/>
      </c>
      <c r="F226" s="11"/>
      <c r="G226" s="12" t="str">
        <f t="shared" si="6"/>
        <v/>
      </c>
      <c r="H226" s="13" t="str">
        <f t="shared" si="7"/>
        <v/>
      </c>
      <c r="I226" s="14"/>
      <c r="J226" s="14"/>
    </row>
    <row r="227" spans="1:10" ht="22" customHeight="1">
      <c r="A227" s="15">
        <v>220</v>
      </c>
      <c r="B227" s="16" t="s">
        <v>29</v>
      </c>
      <c r="C227" s="8"/>
      <c r="D227" s="9" t="str">
        <f>IFERROR(VLOOKUP(B227&amp;"-"&amp;C227, '💾 學生體重資料庫'!$A:$I, 4, FALSE), "")</f>
        <v/>
      </c>
      <c r="E227" s="10" t="str">
        <f>IFERROR(VLOOKUP(B227&amp;"-"&amp;C227, '💾 學生體重資料庫'!$A:$I, 8, FALSE), "")</f>
        <v/>
      </c>
      <c r="F227" s="11"/>
      <c r="G227" s="12" t="str">
        <f t="shared" si="6"/>
        <v/>
      </c>
      <c r="H227" s="13" t="str">
        <f t="shared" si="7"/>
        <v/>
      </c>
      <c r="I227" s="14"/>
      <c r="J227" s="14"/>
    </row>
  </sheetData>
  <mergeCells count="9">
    <mergeCell ref="J1:J6"/>
    <mergeCell ref="G4:H4"/>
    <mergeCell ref="G5:H5"/>
    <mergeCell ref="A4:B4"/>
    <mergeCell ref="A5:B5"/>
    <mergeCell ref="C4:D4"/>
    <mergeCell ref="C5:D5"/>
    <mergeCell ref="E4:F4"/>
    <mergeCell ref="E5:F5"/>
  </mergeCells>
  <phoneticPr fontId="10" type="noConversion"/>
  <conditionalFormatting sqref="H8:H227">
    <cfRule type="cellIs" dxfId="5" priority="1" stopIfTrue="1" operator="equal">
      <formula>"達標"</formula>
    </cfRule>
    <cfRule type="cellIs" dxfId="4" priority="2" stopIfTrue="1" operator="equal">
      <formula>"超重"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輸入錯誤" error="請從下拉選單選擇有效的超重原因代號" xr:uid="{3D7A7BB1-32C5-9742-B4B5-8FA711622315}">
          <x14:formula1>
            <xm:f>'📊 全校各班抽查總表'!$A$12:$A$17</xm:f>
          </x14:formula1>
          <xm:sqref>I8:I227 J8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5"/>
  <sheetViews>
    <sheetView topLeftCell="A41" workbookViewId="0">
      <selection activeCell="D12" sqref="D12"/>
    </sheetView>
  </sheetViews>
  <sheetFormatPr baseColWidth="10" defaultColWidth="9" defaultRowHeight="14"/>
  <cols>
    <col min="1" max="5" width="14" customWidth="1"/>
    <col min="6" max="7" width="16" customWidth="1"/>
    <col min="8" max="8" width="14" customWidth="1"/>
    <col min="9" max="10" width="21.59765625" customWidth="1"/>
  </cols>
  <sheetData>
    <row r="1" spans="1:8" ht="21">
      <c r="A1" s="1" t="s">
        <v>30</v>
      </c>
    </row>
    <row r="2" spans="1:8" ht="16">
      <c r="A2" s="2" t="s">
        <v>31</v>
      </c>
    </row>
    <row r="4" spans="1:8">
      <c r="A4" s="69" t="s">
        <v>32</v>
      </c>
      <c r="B4" s="70"/>
      <c r="C4" s="70"/>
      <c r="D4" s="70"/>
      <c r="E4" s="70"/>
      <c r="F4" s="70"/>
      <c r="G4" s="70"/>
      <c r="H4" s="70"/>
    </row>
    <row r="6" spans="1:8" ht="30">
      <c r="A6" s="3" t="s">
        <v>33</v>
      </c>
      <c r="C6" s="3" t="s">
        <v>34</v>
      </c>
      <c r="E6" s="3" t="s">
        <v>35</v>
      </c>
      <c r="G6" s="3" t="s">
        <v>36</v>
      </c>
    </row>
    <row r="7" spans="1:8" ht="23">
      <c r="A7" s="4" t="str">
        <f>"220 人"</f>
        <v>220 人</v>
      </c>
      <c r="C7" s="4" t="str">
        <f>COUNTIF('📱 各班抽查登記表'!F8:F227, "&gt;0") &amp; " 人"</f>
        <v>0 人</v>
      </c>
      <c r="E7" s="4" t="str">
        <f>COUNTIF('📱 各班抽查登記表'!H8:H227, "達標") &amp; " 人"</f>
        <v>0 人</v>
      </c>
      <c r="G7" s="4" t="str">
        <f>COUNTIF('📱 各班抽查登記表'!H8:H227, "超重") &amp; " 人"</f>
        <v>0 人</v>
      </c>
    </row>
    <row r="9" spans="1:8">
      <c r="A9" s="69" t="s">
        <v>37</v>
      </c>
      <c r="B9" s="70"/>
      <c r="C9" s="70"/>
      <c r="D9" s="70"/>
      <c r="E9" s="70"/>
      <c r="F9" s="70"/>
      <c r="G9" s="70"/>
      <c r="H9" s="70"/>
    </row>
    <row r="11" spans="1:8" ht="34">
      <c r="A11" s="5" t="s">
        <v>1430</v>
      </c>
      <c r="B11" s="5" t="s">
        <v>38</v>
      </c>
      <c r="C11" s="5" t="s">
        <v>39</v>
      </c>
      <c r="D11" s="5" t="s">
        <v>1439</v>
      </c>
    </row>
    <row r="12" spans="1:8" ht="34">
      <c r="A12" s="17" t="s">
        <v>1433</v>
      </c>
      <c r="B12" s="18">
        <f>COUNTIF('📱 各班抽查登記表'!$I$8:$I$227, "*1)*")</f>
        <v>0</v>
      </c>
      <c r="C12" s="19">
        <f>IF(COUNTIF('📱 各班抽查登記表'!$H$8:$H$227, "超重")=0, 0, B12/COUNTIF('📱 各班抽查登記表'!$H$8:$H$227, "超重"))</f>
        <v>0</v>
      </c>
      <c r="D12" s="17" t="s">
        <v>10</v>
      </c>
    </row>
    <row r="13" spans="1:8" ht="34">
      <c r="A13" s="17" t="s">
        <v>1434</v>
      </c>
      <c r="B13" s="18">
        <f>COUNTIF('📱 各班抽查登記表'!$I$8:$I$227, "*2)*")</f>
        <v>0</v>
      </c>
      <c r="C13" s="19">
        <f>IF(COUNTIF('📱 各班抽查登記表'!$H$8:$H$227, "超重")=0, 0, B13/COUNTIF('📱 各班抽查登記表'!$H$8:$H$227, "超重"))</f>
        <v>0</v>
      </c>
      <c r="D13" s="17" t="s">
        <v>40</v>
      </c>
    </row>
    <row r="14" spans="1:8" ht="17">
      <c r="A14" s="17" t="s">
        <v>1435</v>
      </c>
      <c r="B14" s="18">
        <f>COUNTIF('📱 各班抽查登記表'!$I$8:$I$227, "*3)*")</f>
        <v>0</v>
      </c>
      <c r="C14" s="19">
        <f>IF(COUNTIF('📱 各班抽查登記表'!$H$8:$H$227, "超重")=0, 0, B14/COUNTIF('📱 各班抽查登記表'!$H$8:$H$227, "超重"))</f>
        <v>0</v>
      </c>
      <c r="D14" s="17" t="s">
        <v>1427</v>
      </c>
    </row>
    <row r="15" spans="1:8" ht="34">
      <c r="A15" s="17" t="s">
        <v>1436</v>
      </c>
      <c r="B15" s="18">
        <f>COUNTIF('📱 各班抽查登記表'!$I$8:$I$227, "*4)*")</f>
        <v>0</v>
      </c>
      <c r="C15" s="19">
        <f>IF(COUNTIF('📱 各班抽查登記表'!$H$8:$H$227, "超重")=0, 0, B15/COUNTIF('📱 各班抽查登記表'!$H$8:$H$227, "超重"))</f>
        <v>0</v>
      </c>
      <c r="D15" s="17" t="s">
        <v>1428</v>
      </c>
    </row>
    <row r="16" spans="1:8" ht="34">
      <c r="A16" s="17" t="s">
        <v>1437</v>
      </c>
      <c r="B16" s="18">
        <f>COUNTIF('📱 各班抽查登記表'!$I$8:$I$227, "*5)*")</f>
        <v>0</v>
      </c>
      <c r="C16" s="19">
        <f>IF(COUNTIF('📱 各班抽查登記表'!$H$8:$H$227, "超重")=0, 0, B16/COUNTIF('📱 各班抽查登記表'!$H$8:$H$227, "超重"))</f>
        <v>0</v>
      </c>
      <c r="D16" s="17" t="s">
        <v>1429</v>
      </c>
    </row>
    <row r="17" spans="1:8" ht="34">
      <c r="A17" s="17" t="s">
        <v>1438</v>
      </c>
      <c r="B17" s="18">
        <f>COUNTIF('📱 各班抽查登記表'!$I$8:$I$227, "*6)*")</f>
        <v>0</v>
      </c>
      <c r="C17" s="19">
        <f>IF(COUNTIF('📱 各班抽查登記表'!$H$8:$H$227, "超重")=0, 0, B17/COUNTIF('📱 各班抽查登記表'!$H$8:$H$227, "超重"))</f>
        <v>0</v>
      </c>
      <c r="D17" s="17" t="s">
        <v>41</v>
      </c>
    </row>
    <row r="19" spans="1:8">
      <c r="A19" s="69" t="s">
        <v>42</v>
      </c>
      <c r="B19" s="70"/>
      <c r="C19" s="70"/>
      <c r="D19" s="70"/>
      <c r="E19" s="70"/>
      <c r="F19" s="70"/>
      <c r="G19" s="70"/>
      <c r="H19" s="70"/>
    </row>
    <row r="21" spans="1:8" ht="17">
      <c r="A21" s="5" t="s">
        <v>43</v>
      </c>
      <c r="B21" s="5" t="s">
        <v>44</v>
      </c>
      <c r="C21" s="5" t="s">
        <v>45</v>
      </c>
      <c r="D21" s="5" t="s">
        <v>46</v>
      </c>
      <c r="E21" s="5" t="s">
        <v>47</v>
      </c>
      <c r="F21" s="5" t="s">
        <v>48</v>
      </c>
      <c r="G21" s="5" t="s">
        <v>49</v>
      </c>
      <c r="H21" s="5" t="s">
        <v>50</v>
      </c>
    </row>
    <row r="22" spans="1:8" ht="17">
      <c r="A22" s="7" t="s">
        <v>9</v>
      </c>
      <c r="B22" s="21">
        <v>11</v>
      </c>
      <c r="C22" s="21">
        <f>COUNTIFS('📱 各班抽查登記表'!$B$8:$B$227, "P1A", '📱 各班抽查登記表'!$F$8:$F$227, "&gt;0")</f>
        <v>0</v>
      </c>
      <c r="D22" s="22">
        <f>COUNTIFS('📱 各班抽查登記表'!$B$8:$B$227, "P1A", '📱 各班抽查登記表'!$H$8:$H$227, "達標")</f>
        <v>0</v>
      </c>
      <c r="E22" s="22">
        <f>COUNTIFS('📱 各班抽查登記表'!$B$8:$B$227, "P1A", '📱 各班抽查登記表'!$H$8:$H$227, "超重")</f>
        <v>0</v>
      </c>
      <c r="F22" s="19" t="str">
        <f t="shared" ref="F22:F41" si="0">IF(C22=0, "", D22/C22)</f>
        <v/>
      </c>
      <c r="G22" s="19" t="str">
        <f t="shared" ref="G22:G41" si="1">IF(C22=0, "", E22/C22)</f>
        <v/>
      </c>
      <c r="H22" s="6" t="str">
        <f t="shared" ref="H22:H41" si="2">IF(C22=0, "未開始", IF(C22&lt;11, "登記中", "已完成"))</f>
        <v>未開始</v>
      </c>
    </row>
    <row r="23" spans="1:8" ht="17">
      <c r="A23" s="7" t="s">
        <v>11</v>
      </c>
      <c r="B23" s="21">
        <v>11</v>
      </c>
      <c r="C23" s="21">
        <f>COUNTIFS('📱 各班抽查登記表'!$B$8:$B$227, "P1B", '📱 各班抽查登記表'!$F$8:$F$227, "&gt;0")</f>
        <v>0</v>
      </c>
      <c r="D23" s="22">
        <f>COUNTIFS('📱 各班抽查登記表'!$B$8:$B$227, "P1B", '📱 各班抽查登記表'!$H$8:$H$227, "達標")</f>
        <v>0</v>
      </c>
      <c r="E23" s="22">
        <f>COUNTIFS('📱 各班抽查登記表'!$B$8:$B$227, "P1B", '📱 各班抽查登記表'!$H$8:$H$227, "超重")</f>
        <v>0</v>
      </c>
      <c r="F23" s="19" t="str">
        <f t="shared" si="0"/>
        <v/>
      </c>
      <c r="G23" s="19" t="str">
        <f t="shared" si="1"/>
        <v/>
      </c>
      <c r="H23" s="6" t="str">
        <f t="shared" si="2"/>
        <v>未開始</v>
      </c>
    </row>
    <row r="24" spans="1:8" ht="17">
      <c r="A24" s="7" t="s">
        <v>12</v>
      </c>
      <c r="B24" s="21">
        <v>11</v>
      </c>
      <c r="C24" s="21">
        <f>COUNTIFS('📱 各班抽查登記表'!$B$8:$B$227, "P1C", '📱 各班抽查登記表'!$F$8:$F$227, "&gt;0")</f>
        <v>0</v>
      </c>
      <c r="D24" s="22">
        <f>COUNTIFS('📱 各班抽查登記表'!$B$8:$B$227, "P1C", '📱 各班抽查登記表'!$H$8:$H$227, "達標")</f>
        <v>0</v>
      </c>
      <c r="E24" s="22">
        <f>COUNTIFS('📱 各班抽查登記表'!$B$8:$B$227, "P1C", '📱 各班抽查登記表'!$H$8:$H$227, "超重")</f>
        <v>0</v>
      </c>
      <c r="F24" s="19" t="str">
        <f t="shared" si="0"/>
        <v/>
      </c>
      <c r="G24" s="19" t="str">
        <f t="shared" si="1"/>
        <v/>
      </c>
      <c r="H24" s="6" t="str">
        <f t="shared" si="2"/>
        <v>未開始</v>
      </c>
    </row>
    <row r="25" spans="1:8" ht="17">
      <c r="A25" s="7" t="s">
        <v>13</v>
      </c>
      <c r="B25" s="21">
        <v>11</v>
      </c>
      <c r="C25" s="21">
        <f>COUNTIFS('📱 各班抽查登記表'!$B$8:$B$227, "P2A", '📱 各班抽查登記表'!$F$8:$F$227, "&gt;0")</f>
        <v>0</v>
      </c>
      <c r="D25" s="22">
        <f>COUNTIFS('📱 各班抽查登記表'!$B$8:$B$227, "P2A", '📱 各班抽查登記表'!$H$8:$H$227, "達標")</f>
        <v>0</v>
      </c>
      <c r="E25" s="22">
        <f>COUNTIFS('📱 各班抽查登記表'!$B$8:$B$227, "P2A", '📱 各班抽查登記表'!$H$8:$H$227, "超重")</f>
        <v>0</v>
      </c>
      <c r="F25" s="19" t="str">
        <f t="shared" si="0"/>
        <v/>
      </c>
      <c r="G25" s="19" t="str">
        <f t="shared" si="1"/>
        <v/>
      </c>
      <c r="H25" s="6" t="str">
        <f t="shared" si="2"/>
        <v>未開始</v>
      </c>
    </row>
    <row r="26" spans="1:8" ht="17">
      <c r="A26" s="7" t="s">
        <v>14</v>
      </c>
      <c r="B26" s="21">
        <v>11</v>
      </c>
      <c r="C26" s="21">
        <f>COUNTIFS('📱 各班抽查登記表'!$B$8:$B$227, "P2B", '📱 各班抽查登記表'!$F$8:$F$227, "&gt;0")</f>
        <v>0</v>
      </c>
      <c r="D26" s="22">
        <f>COUNTIFS('📱 各班抽查登記表'!$B$8:$B$227, "P2B", '📱 各班抽查登記表'!$H$8:$H$227, "達標")</f>
        <v>0</v>
      </c>
      <c r="E26" s="22">
        <f>COUNTIFS('📱 各班抽查登記表'!$B$8:$B$227, "P2B", '📱 各班抽查登記表'!$H$8:$H$227, "超重")</f>
        <v>0</v>
      </c>
      <c r="F26" s="19" t="str">
        <f t="shared" si="0"/>
        <v/>
      </c>
      <c r="G26" s="19" t="str">
        <f t="shared" si="1"/>
        <v/>
      </c>
      <c r="H26" s="6" t="str">
        <f t="shared" si="2"/>
        <v>未開始</v>
      </c>
    </row>
    <row r="27" spans="1:8" ht="17">
      <c r="A27" s="7" t="s">
        <v>15</v>
      </c>
      <c r="B27" s="21">
        <v>11</v>
      </c>
      <c r="C27" s="21">
        <f>COUNTIFS('📱 各班抽查登記表'!$B$8:$B$227, "P2C", '📱 各班抽查登記表'!$F$8:$F$227, "&gt;0")</f>
        <v>0</v>
      </c>
      <c r="D27" s="22">
        <f>COUNTIFS('📱 各班抽查登記表'!$B$8:$B$227, "P2C", '📱 各班抽查登記表'!$H$8:$H$227, "達標")</f>
        <v>0</v>
      </c>
      <c r="E27" s="22">
        <f>COUNTIFS('📱 各班抽查登記表'!$B$8:$B$227, "P2C", '📱 各班抽查登記表'!$H$8:$H$227, "超重")</f>
        <v>0</v>
      </c>
      <c r="F27" s="19" t="str">
        <f t="shared" si="0"/>
        <v/>
      </c>
      <c r="G27" s="19" t="str">
        <f t="shared" si="1"/>
        <v/>
      </c>
      <c r="H27" s="6" t="str">
        <f t="shared" si="2"/>
        <v>未開始</v>
      </c>
    </row>
    <row r="28" spans="1:8" ht="17">
      <c r="A28" s="7" t="s">
        <v>16</v>
      </c>
      <c r="B28" s="21">
        <v>11</v>
      </c>
      <c r="C28" s="21">
        <f>COUNTIFS('📱 各班抽查登記表'!$B$8:$B$227, "P3A", '📱 各班抽查登記表'!$F$8:$F$227, "&gt;0")</f>
        <v>0</v>
      </c>
      <c r="D28" s="22">
        <f>COUNTIFS('📱 各班抽查登記表'!$B$8:$B$227, "P3A", '📱 各班抽查登記表'!$H$8:$H$227, "達標")</f>
        <v>0</v>
      </c>
      <c r="E28" s="22">
        <f>COUNTIFS('📱 各班抽查登記表'!$B$8:$B$227, "P3A", '📱 各班抽查登記表'!$H$8:$H$227, "超重")</f>
        <v>0</v>
      </c>
      <c r="F28" s="19" t="str">
        <f t="shared" si="0"/>
        <v/>
      </c>
      <c r="G28" s="19" t="str">
        <f t="shared" si="1"/>
        <v/>
      </c>
      <c r="H28" s="6" t="str">
        <f t="shared" si="2"/>
        <v>未開始</v>
      </c>
    </row>
    <row r="29" spans="1:8" ht="17">
      <c r="A29" s="7" t="s">
        <v>17</v>
      </c>
      <c r="B29" s="21">
        <v>11</v>
      </c>
      <c r="C29" s="21">
        <f>COUNTIFS('📱 各班抽查登記表'!$B$8:$B$227, "P3B", '📱 各班抽查登記表'!$F$8:$F$227, "&gt;0")</f>
        <v>0</v>
      </c>
      <c r="D29" s="22">
        <f>COUNTIFS('📱 各班抽查登記表'!$B$8:$B$227, "P3B", '📱 各班抽查登記表'!$H$8:$H$227, "達標")</f>
        <v>0</v>
      </c>
      <c r="E29" s="22">
        <f>COUNTIFS('📱 各班抽查登記表'!$B$8:$B$227, "P3B", '📱 各班抽查登記表'!$H$8:$H$227, "超重")</f>
        <v>0</v>
      </c>
      <c r="F29" s="19" t="str">
        <f t="shared" si="0"/>
        <v/>
      </c>
      <c r="G29" s="19" t="str">
        <f t="shared" si="1"/>
        <v/>
      </c>
      <c r="H29" s="6" t="str">
        <f t="shared" si="2"/>
        <v>未開始</v>
      </c>
    </row>
    <row r="30" spans="1:8" ht="17">
      <c r="A30" s="7" t="s">
        <v>18</v>
      </c>
      <c r="B30" s="21">
        <v>11</v>
      </c>
      <c r="C30" s="21">
        <f>COUNTIFS('📱 各班抽查登記表'!$B$8:$B$227, "P3C", '📱 各班抽查登記表'!$F$8:$F$227, "&gt;0")</f>
        <v>0</v>
      </c>
      <c r="D30" s="22">
        <f>COUNTIFS('📱 各班抽查登記表'!$B$8:$B$227, "P3C", '📱 各班抽查登記表'!$H$8:$H$227, "達標")</f>
        <v>0</v>
      </c>
      <c r="E30" s="22">
        <f>COUNTIFS('📱 各班抽查登記表'!$B$8:$B$227, "P3C", '📱 各班抽查登記表'!$H$8:$H$227, "超重")</f>
        <v>0</v>
      </c>
      <c r="F30" s="19" t="str">
        <f t="shared" si="0"/>
        <v/>
      </c>
      <c r="G30" s="19" t="str">
        <f t="shared" si="1"/>
        <v/>
      </c>
      <c r="H30" s="6" t="str">
        <f t="shared" si="2"/>
        <v>未開始</v>
      </c>
    </row>
    <row r="31" spans="1:8" ht="17">
      <c r="A31" s="7" t="s">
        <v>19</v>
      </c>
      <c r="B31" s="21">
        <v>11</v>
      </c>
      <c r="C31" s="21">
        <f>COUNTIFS('📱 各班抽查登記表'!$B$8:$B$227, "P3D", '📱 各班抽查登記表'!$F$8:$F$227, "&gt;0")</f>
        <v>0</v>
      </c>
      <c r="D31" s="22">
        <f>COUNTIFS('📱 各班抽查登記表'!$B$8:$B$227, "P3D", '📱 各班抽查登記表'!$H$8:$H$227, "達標")</f>
        <v>0</v>
      </c>
      <c r="E31" s="22">
        <f>COUNTIFS('📱 各班抽查登記表'!$B$8:$B$227, "P3D", '📱 各班抽查登記表'!$H$8:$H$227, "超重")</f>
        <v>0</v>
      </c>
      <c r="F31" s="19" t="str">
        <f t="shared" si="0"/>
        <v/>
      </c>
      <c r="G31" s="19" t="str">
        <f t="shared" si="1"/>
        <v/>
      </c>
      <c r="H31" s="6" t="str">
        <f t="shared" si="2"/>
        <v>未開始</v>
      </c>
    </row>
    <row r="32" spans="1:8" ht="17">
      <c r="A32" s="7" t="s">
        <v>20</v>
      </c>
      <c r="B32" s="21">
        <v>11</v>
      </c>
      <c r="C32" s="21">
        <f>COUNTIFS('📱 各班抽查登記表'!$B$8:$B$227, "P4A", '📱 各班抽查登記表'!$F$8:$F$227, "&gt;0")</f>
        <v>0</v>
      </c>
      <c r="D32" s="22">
        <f>COUNTIFS('📱 各班抽查登記表'!$B$8:$B$227, "P4A", '📱 各班抽查登記表'!$H$8:$H$227, "達標")</f>
        <v>0</v>
      </c>
      <c r="E32" s="22">
        <f>COUNTIFS('📱 各班抽查登記表'!$B$8:$B$227, "P4A", '📱 各班抽查登記表'!$H$8:$H$227, "超重")</f>
        <v>0</v>
      </c>
      <c r="F32" s="19" t="str">
        <f t="shared" si="0"/>
        <v/>
      </c>
      <c r="G32" s="19" t="str">
        <f t="shared" si="1"/>
        <v/>
      </c>
      <c r="H32" s="6" t="str">
        <f t="shared" si="2"/>
        <v>未開始</v>
      </c>
    </row>
    <row r="33" spans="1:10" ht="17">
      <c r="A33" s="7" t="s">
        <v>21</v>
      </c>
      <c r="B33" s="21">
        <v>11</v>
      </c>
      <c r="C33" s="21">
        <f>COUNTIFS('📱 各班抽查登記表'!$B$8:$B$227, "P4B", '📱 各班抽查登記表'!$F$8:$F$227, "&gt;0")</f>
        <v>0</v>
      </c>
      <c r="D33" s="22">
        <f>COUNTIFS('📱 各班抽查登記表'!$B$8:$B$227, "P4B", '📱 各班抽查登記表'!$H$8:$H$227, "達標")</f>
        <v>0</v>
      </c>
      <c r="E33" s="22">
        <f>COUNTIFS('📱 各班抽查登記表'!$B$8:$B$227, "P4B", '📱 各班抽查登記表'!$H$8:$H$227, "超重")</f>
        <v>0</v>
      </c>
      <c r="F33" s="19" t="str">
        <f t="shared" si="0"/>
        <v/>
      </c>
      <c r="G33" s="19" t="str">
        <f t="shared" si="1"/>
        <v/>
      </c>
      <c r="H33" s="6" t="str">
        <f t="shared" si="2"/>
        <v>未開始</v>
      </c>
    </row>
    <row r="34" spans="1:10" ht="17">
      <c r="A34" s="7" t="s">
        <v>22</v>
      </c>
      <c r="B34" s="21">
        <v>11</v>
      </c>
      <c r="C34" s="21">
        <f>COUNTIFS('📱 各班抽查登記表'!$B$8:$B$227, "P4C", '📱 各班抽查登記表'!$F$8:$F$227, "&gt;0")</f>
        <v>0</v>
      </c>
      <c r="D34" s="22">
        <f>COUNTIFS('📱 各班抽查登記表'!$B$8:$B$227, "P4C", '📱 各班抽查登記表'!$H$8:$H$227, "達標")</f>
        <v>0</v>
      </c>
      <c r="E34" s="22">
        <f>COUNTIFS('📱 各班抽查登記表'!$B$8:$B$227, "P4C", '📱 各班抽查登記表'!$H$8:$H$227, "超重")</f>
        <v>0</v>
      </c>
      <c r="F34" s="19" t="str">
        <f t="shared" si="0"/>
        <v/>
      </c>
      <c r="G34" s="19" t="str">
        <f t="shared" si="1"/>
        <v/>
      </c>
      <c r="H34" s="6" t="str">
        <f t="shared" si="2"/>
        <v>未開始</v>
      </c>
    </row>
    <row r="35" spans="1:10" ht="17">
      <c r="A35" s="7" t="s">
        <v>23</v>
      </c>
      <c r="B35" s="21">
        <v>11</v>
      </c>
      <c r="C35" s="21">
        <f>COUNTIFS('📱 各班抽查登記表'!$B$8:$B$227, "P5A", '📱 各班抽查登記表'!$F$8:$F$227, "&gt;0")</f>
        <v>0</v>
      </c>
      <c r="D35" s="22">
        <f>COUNTIFS('📱 各班抽查登記表'!$B$8:$B$227, "P5A", '📱 各班抽查登記表'!$H$8:$H$227, "達標")</f>
        <v>0</v>
      </c>
      <c r="E35" s="22">
        <f>COUNTIFS('📱 各班抽查登記表'!$B$8:$B$227, "P5A", '📱 各班抽查登記表'!$H$8:$H$227, "超重")</f>
        <v>0</v>
      </c>
      <c r="F35" s="19" t="str">
        <f t="shared" si="0"/>
        <v/>
      </c>
      <c r="G35" s="19" t="str">
        <f t="shared" si="1"/>
        <v/>
      </c>
      <c r="H35" s="6" t="str">
        <f t="shared" si="2"/>
        <v>未開始</v>
      </c>
    </row>
    <row r="36" spans="1:10" ht="17">
      <c r="A36" s="7" t="s">
        <v>24</v>
      </c>
      <c r="B36" s="21">
        <v>11</v>
      </c>
      <c r="C36" s="21">
        <f>COUNTIFS('📱 各班抽查登記表'!$B$8:$B$227, "P5B", '📱 各班抽查登記表'!$F$8:$F$227, "&gt;0")</f>
        <v>0</v>
      </c>
      <c r="D36" s="22">
        <f>COUNTIFS('📱 各班抽查登記表'!$B$8:$B$227, "P5B", '📱 各班抽查登記表'!$H$8:$H$227, "達標")</f>
        <v>0</v>
      </c>
      <c r="E36" s="22">
        <f>COUNTIFS('📱 各班抽查登記表'!$B$8:$B$227, "P5B", '📱 各班抽查登記表'!$H$8:$H$227, "超重")</f>
        <v>0</v>
      </c>
      <c r="F36" s="19" t="str">
        <f t="shared" si="0"/>
        <v/>
      </c>
      <c r="G36" s="19" t="str">
        <f t="shared" si="1"/>
        <v/>
      </c>
      <c r="H36" s="6" t="str">
        <f t="shared" si="2"/>
        <v>未開始</v>
      </c>
    </row>
    <row r="37" spans="1:10" ht="17">
      <c r="A37" s="7" t="s">
        <v>25</v>
      </c>
      <c r="B37" s="21">
        <v>11</v>
      </c>
      <c r="C37" s="21">
        <f>COUNTIFS('📱 各班抽查登記表'!$B$8:$B$227, "P5C", '📱 各班抽查登記表'!$F$8:$F$227, "&gt;0")</f>
        <v>0</v>
      </c>
      <c r="D37" s="22">
        <f>COUNTIFS('📱 各班抽查登記表'!$B$8:$B$227, "P5C", '📱 各班抽查登記表'!$H$8:$H$227, "達標")</f>
        <v>0</v>
      </c>
      <c r="E37" s="22">
        <f>COUNTIFS('📱 各班抽查登記表'!$B$8:$B$227, "P5C", '📱 各班抽查登記表'!$H$8:$H$227, "超重")</f>
        <v>0</v>
      </c>
      <c r="F37" s="19" t="str">
        <f t="shared" si="0"/>
        <v/>
      </c>
      <c r="G37" s="19" t="str">
        <f t="shared" si="1"/>
        <v/>
      </c>
      <c r="H37" s="6" t="str">
        <f t="shared" si="2"/>
        <v>未開始</v>
      </c>
    </row>
    <row r="38" spans="1:10" ht="17">
      <c r="A38" s="7" t="s">
        <v>26</v>
      </c>
      <c r="B38" s="21">
        <v>11</v>
      </c>
      <c r="C38" s="21">
        <f>COUNTIFS('📱 各班抽查登記表'!$B$8:$B$227, "P6A", '📱 各班抽查登記表'!$F$8:$F$227, "&gt;0")</f>
        <v>0</v>
      </c>
      <c r="D38" s="22">
        <f>COUNTIFS('📱 各班抽查登記表'!$B$8:$B$227, "P6A", '📱 各班抽查登記表'!$H$8:$H$227, "達標")</f>
        <v>0</v>
      </c>
      <c r="E38" s="22">
        <f>COUNTIFS('📱 各班抽查登記表'!$B$8:$B$227, "P6A", '📱 各班抽查登記表'!$H$8:$H$227, "超重")</f>
        <v>0</v>
      </c>
      <c r="F38" s="19" t="str">
        <f t="shared" si="0"/>
        <v/>
      </c>
      <c r="G38" s="19" t="str">
        <f t="shared" si="1"/>
        <v/>
      </c>
      <c r="H38" s="6" t="str">
        <f t="shared" si="2"/>
        <v>未開始</v>
      </c>
    </row>
    <row r="39" spans="1:10" ht="17">
      <c r="A39" s="7" t="s">
        <v>27</v>
      </c>
      <c r="B39" s="21">
        <v>11</v>
      </c>
      <c r="C39" s="21">
        <f>COUNTIFS('📱 各班抽查登記表'!$B$8:$B$227, "P6B", '📱 各班抽查登記表'!$F$8:$F$227, "&gt;0")</f>
        <v>0</v>
      </c>
      <c r="D39" s="22">
        <f>COUNTIFS('📱 各班抽查登記表'!$B$8:$B$227, "P6B", '📱 各班抽查登記表'!$H$8:$H$227, "達標")</f>
        <v>0</v>
      </c>
      <c r="E39" s="22">
        <f>COUNTIFS('📱 各班抽查登記表'!$B$8:$B$227, "P6B", '📱 各班抽查登記表'!$H$8:$H$227, "超重")</f>
        <v>0</v>
      </c>
      <c r="F39" s="19" t="str">
        <f t="shared" si="0"/>
        <v/>
      </c>
      <c r="G39" s="19" t="str">
        <f t="shared" si="1"/>
        <v/>
      </c>
      <c r="H39" s="6" t="str">
        <f t="shared" si="2"/>
        <v>未開始</v>
      </c>
    </row>
    <row r="40" spans="1:10" ht="17">
      <c r="A40" s="7" t="s">
        <v>28</v>
      </c>
      <c r="B40" s="21">
        <v>11</v>
      </c>
      <c r="C40" s="21">
        <f>COUNTIFS('📱 各班抽查登記表'!$B$8:$B$227, "P6C", '📱 各班抽查登記表'!$F$8:$F$227, "&gt;0")</f>
        <v>0</v>
      </c>
      <c r="D40" s="22">
        <f>COUNTIFS('📱 各班抽查登記表'!$B$8:$B$227, "P6C", '📱 各班抽查登記表'!$H$8:$H$227, "達標")</f>
        <v>0</v>
      </c>
      <c r="E40" s="22">
        <f>COUNTIFS('📱 各班抽查登記表'!$B$8:$B$227, "P6C", '📱 各班抽查登記表'!$H$8:$H$227, "超重")</f>
        <v>0</v>
      </c>
      <c r="F40" s="19" t="str">
        <f t="shared" si="0"/>
        <v/>
      </c>
      <c r="G40" s="19" t="str">
        <f t="shared" si="1"/>
        <v/>
      </c>
      <c r="H40" s="6" t="str">
        <f t="shared" si="2"/>
        <v>未開始</v>
      </c>
    </row>
    <row r="41" spans="1:10" ht="17">
      <c r="A41" s="7" t="s">
        <v>29</v>
      </c>
      <c r="B41" s="21">
        <v>11</v>
      </c>
      <c r="C41" s="21">
        <f>COUNTIFS('📱 各班抽查登記表'!$B$8:$B$227, "P6D", '📱 各班抽查登記表'!$F$8:$F$227, "&gt;0")</f>
        <v>0</v>
      </c>
      <c r="D41" s="22">
        <f>COUNTIFS('📱 各班抽查登記表'!$B$8:$B$227, "P6D", '📱 各班抽查登記表'!$H$8:$H$227, "達標")</f>
        <v>0</v>
      </c>
      <c r="E41" s="22">
        <f>COUNTIFS('📱 各班抽查登記表'!$B$8:$B$227, "P6D", '📱 各班抽查登記表'!$H$8:$H$227, "超重")</f>
        <v>0</v>
      </c>
      <c r="F41" s="19" t="str">
        <f t="shared" si="0"/>
        <v/>
      </c>
      <c r="G41" s="19" t="str">
        <f t="shared" si="1"/>
        <v/>
      </c>
      <c r="H41" s="6" t="str">
        <f t="shared" si="2"/>
        <v>未開始</v>
      </c>
    </row>
    <row r="43" spans="1:10">
      <c r="A43" s="69" t="s">
        <v>51</v>
      </c>
      <c r="B43" s="70"/>
      <c r="C43" s="70"/>
      <c r="D43" s="70"/>
      <c r="E43" s="70"/>
      <c r="F43" s="70"/>
      <c r="G43" s="70"/>
      <c r="H43" s="70"/>
    </row>
    <row r="45" spans="1:10" ht="17">
      <c r="A45" s="5" t="s">
        <v>52</v>
      </c>
      <c r="B45" s="5" t="s">
        <v>43</v>
      </c>
      <c r="C45" s="5" t="s">
        <v>53</v>
      </c>
      <c r="D45" s="5" t="s">
        <v>54</v>
      </c>
      <c r="E45" s="5" t="s">
        <v>55</v>
      </c>
      <c r="F45" s="5" t="s">
        <v>56</v>
      </c>
      <c r="G45" s="5" t="s">
        <v>57</v>
      </c>
      <c r="H45" s="5" t="s">
        <v>58</v>
      </c>
      <c r="I45" s="5" t="s">
        <v>59</v>
      </c>
      <c r="J45" s="5" t="s">
        <v>60</v>
      </c>
    </row>
    <row r="46" spans="1:10" ht="17">
      <c r="A46" s="6">
        <f>'📱 各班抽查登記表'!A8</f>
        <v>1</v>
      </c>
      <c r="B46" s="6" t="str">
        <f>'📱 各班抽查登記表'!B8</f>
        <v>P1A</v>
      </c>
      <c r="C46" s="6">
        <f>'📱 各班抽查登記表'!C8</f>
        <v>0</v>
      </c>
      <c r="D46" s="6" t="str">
        <f>'📱 各班抽查登記表'!D8</f>
        <v/>
      </c>
      <c r="E46" s="23" t="str">
        <f>'📱 各班抽查登記表'!E8</f>
        <v/>
      </c>
      <c r="F46" s="23">
        <f>'📱 各班抽查登記表'!F8</f>
        <v>0</v>
      </c>
      <c r="G46" s="24" t="str">
        <f>'📱 各班抽查登記表'!G8</f>
        <v/>
      </c>
      <c r="H46" s="6" t="str">
        <f>'📱 各班抽查登記表'!H8</f>
        <v/>
      </c>
      <c r="I46" s="20">
        <f>'📱 各班抽查登記表'!I8</f>
        <v>0</v>
      </c>
      <c r="J46" s="20">
        <f>'📱 各班抽查登記表'!J8</f>
        <v>0</v>
      </c>
    </row>
    <row r="47" spans="1:10" ht="17">
      <c r="A47" s="6">
        <f>'📱 各班抽查登記表'!A9</f>
        <v>2</v>
      </c>
      <c r="B47" s="6" t="str">
        <f>'📱 各班抽查登記表'!B9</f>
        <v>P1A</v>
      </c>
      <c r="C47" s="6">
        <f>'📱 各班抽查登記表'!C9</f>
        <v>0</v>
      </c>
      <c r="D47" s="6" t="str">
        <f>'📱 各班抽查登記表'!D9</f>
        <v/>
      </c>
      <c r="E47" s="23" t="str">
        <f>'📱 各班抽查登記表'!E9</f>
        <v/>
      </c>
      <c r="F47" s="23">
        <f>'📱 各班抽查登記表'!F9</f>
        <v>0</v>
      </c>
      <c r="G47" s="24" t="str">
        <f>'📱 各班抽查登記表'!G9</f>
        <v/>
      </c>
      <c r="H47" s="6" t="str">
        <f>'📱 各班抽查登記表'!H9</f>
        <v/>
      </c>
      <c r="I47" s="20">
        <f>'📱 各班抽查登記表'!I9</f>
        <v>0</v>
      </c>
      <c r="J47" s="20">
        <f>'📱 各班抽查登記表'!J9</f>
        <v>0</v>
      </c>
    </row>
    <row r="48" spans="1:10" ht="17">
      <c r="A48" s="6">
        <f>'📱 各班抽查登記表'!A10</f>
        <v>3</v>
      </c>
      <c r="B48" s="6" t="str">
        <f>'📱 各班抽查登記表'!B10</f>
        <v>P1A</v>
      </c>
      <c r="C48" s="6">
        <f>'📱 各班抽查登記表'!C10</f>
        <v>0</v>
      </c>
      <c r="D48" s="6" t="str">
        <f>'📱 各班抽查登記表'!D10</f>
        <v/>
      </c>
      <c r="E48" s="23" t="str">
        <f>'📱 各班抽查登記表'!E10</f>
        <v/>
      </c>
      <c r="F48" s="23">
        <f>'📱 各班抽查登記表'!F10</f>
        <v>0</v>
      </c>
      <c r="G48" s="24" t="str">
        <f>'📱 各班抽查登記表'!G10</f>
        <v/>
      </c>
      <c r="H48" s="6" t="str">
        <f>'📱 各班抽查登記表'!H10</f>
        <v/>
      </c>
      <c r="I48" s="20">
        <f>'📱 各班抽查登記表'!I10</f>
        <v>0</v>
      </c>
      <c r="J48" s="20">
        <f>'📱 各班抽查登記表'!J10</f>
        <v>0</v>
      </c>
    </row>
    <row r="49" spans="1:10" ht="17">
      <c r="A49" s="6">
        <f>'📱 各班抽查登記表'!A11</f>
        <v>4</v>
      </c>
      <c r="B49" s="6" t="str">
        <f>'📱 各班抽查登記表'!B11</f>
        <v>P1A</v>
      </c>
      <c r="C49" s="6">
        <f>'📱 各班抽查登記表'!C11</f>
        <v>0</v>
      </c>
      <c r="D49" s="6" t="str">
        <f>'📱 各班抽查登記表'!D11</f>
        <v/>
      </c>
      <c r="E49" s="23" t="str">
        <f>'📱 各班抽查登記表'!E11</f>
        <v/>
      </c>
      <c r="F49" s="23">
        <f>'📱 各班抽查登記表'!F11</f>
        <v>0</v>
      </c>
      <c r="G49" s="24" t="str">
        <f>'📱 各班抽查登記表'!G11</f>
        <v/>
      </c>
      <c r="H49" s="6" t="str">
        <f>'📱 各班抽查登記表'!H11</f>
        <v/>
      </c>
      <c r="I49" s="20">
        <f>'📱 各班抽查登記表'!I11</f>
        <v>0</v>
      </c>
      <c r="J49" s="20">
        <f>'📱 各班抽查登記表'!J11</f>
        <v>0</v>
      </c>
    </row>
    <row r="50" spans="1:10" ht="17">
      <c r="A50" s="6">
        <f>'📱 各班抽查登記表'!A12</f>
        <v>5</v>
      </c>
      <c r="B50" s="6" t="str">
        <f>'📱 各班抽查登記表'!B12</f>
        <v>P1A</v>
      </c>
      <c r="C50" s="6">
        <f>'📱 各班抽查登記表'!C12</f>
        <v>0</v>
      </c>
      <c r="D50" s="6" t="str">
        <f>'📱 各班抽查登記表'!D12</f>
        <v/>
      </c>
      <c r="E50" s="23" t="str">
        <f>'📱 各班抽查登記表'!E12</f>
        <v/>
      </c>
      <c r="F50" s="23">
        <f>'📱 各班抽查登記表'!F12</f>
        <v>0</v>
      </c>
      <c r="G50" s="24" t="str">
        <f>'📱 各班抽查登記表'!G12</f>
        <v/>
      </c>
      <c r="H50" s="6" t="str">
        <f>'📱 各班抽查登記表'!H12</f>
        <v/>
      </c>
      <c r="I50" s="20">
        <f>'📱 各班抽查登記表'!I12</f>
        <v>0</v>
      </c>
      <c r="J50" s="20">
        <f>'📱 各班抽查登記表'!J12</f>
        <v>0</v>
      </c>
    </row>
    <row r="51" spans="1:10" ht="17">
      <c r="A51" s="6">
        <f>'📱 各班抽查登記表'!A13</f>
        <v>6</v>
      </c>
      <c r="B51" s="6" t="str">
        <f>'📱 各班抽查登記表'!B13</f>
        <v>P1A</v>
      </c>
      <c r="C51" s="6">
        <f>'📱 各班抽查登記表'!C13</f>
        <v>0</v>
      </c>
      <c r="D51" s="6" t="str">
        <f>'📱 各班抽查登記表'!D13</f>
        <v/>
      </c>
      <c r="E51" s="23" t="str">
        <f>'📱 各班抽查登記表'!E13</f>
        <v/>
      </c>
      <c r="F51" s="23">
        <f>'📱 各班抽查登記表'!F13</f>
        <v>0</v>
      </c>
      <c r="G51" s="24" t="str">
        <f>'📱 各班抽查登記表'!G13</f>
        <v/>
      </c>
      <c r="H51" s="6" t="str">
        <f>'📱 各班抽查登記表'!H13</f>
        <v/>
      </c>
      <c r="I51" s="20">
        <f>'📱 各班抽查登記表'!I13</f>
        <v>0</v>
      </c>
      <c r="J51" s="20">
        <f>'📱 各班抽查登記表'!J13</f>
        <v>0</v>
      </c>
    </row>
    <row r="52" spans="1:10" ht="17">
      <c r="A52" s="6">
        <f>'📱 各班抽查登記表'!A14</f>
        <v>7</v>
      </c>
      <c r="B52" s="6" t="str">
        <f>'📱 各班抽查登記表'!B14</f>
        <v>P1A</v>
      </c>
      <c r="C52" s="6">
        <f>'📱 各班抽查登記表'!C14</f>
        <v>0</v>
      </c>
      <c r="D52" s="6" t="str">
        <f>'📱 各班抽查登記表'!D14</f>
        <v/>
      </c>
      <c r="E52" s="23" t="str">
        <f>'📱 各班抽查登記表'!E14</f>
        <v/>
      </c>
      <c r="F52" s="23">
        <f>'📱 各班抽查登記表'!F14</f>
        <v>0</v>
      </c>
      <c r="G52" s="24" t="str">
        <f>'📱 各班抽查登記表'!G14</f>
        <v/>
      </c>
      <c r="H52" s="6" t="str">
        <f>'📱 各班抽查登記表'!H14</f>
        <v/>
      </c>
      <c r="I52" s="20">
        <f>'📱 各班抽查登記表'!I14</f>
        <v>0</v>
      </c>
      <c r="J52" s="20">
        <f>'📱 各班抽查登記表'!J14</f>
        <v>0</v>
      </c>
    </row>
    <row r="53" spans="1:10" ht="17">
      <c r="A53" s="6">
        <f>'📱 各班抽查登記表'!A15</f>
        <v>8</v>
      </c>
      <c r="B53" s="6" t="str">
        <f>'📱 各班抽查登記表'!B15</f>
        <v>P1A</v>
      </c>
      <c r="C53" s="6">
        <f>'📱 各班抽查登記表'!C15</f>
        <v>0</v>
      </c>
      <c r="D53" s="6" t="str">
        <f>'📱 各班抽查登記表'!D15</f>
        <v/>
      </c>
      <c r="E53" s="23" t="str">
        <f>'📱 各班抽查登記表'!E15</f>
        <v/>
      </c>
      <c r="F53" s="23">
        <f>'📱 各班抽查登記表'!F15</f>
        <v>0</v>
      </c>
      <c r="G53" s="24" t="str">
        <f>'📱 各班抽查登記表'!G15</f>
        <v/>
      </c>
      <c r="H53" s="6" t="str">
        <f>'📱 各班抽查登記表'!H15</f>
        <v/>
      </c>
      <c r="I53" s="20">
        <f>'📱 各班抽查登記表'!I15</f>
        <v>0</v>
      </c>
      <c r="J53" s="20">
        <f>'📱 各班抽查登記表'!J15</f>
        <v>0</v>
      </c>
    </row>
    <row r="54" spans="1:10" ht="17">
      <c r="A54" s="6">
        <f>'📱 各班抽查登記表'!A16</f>
        <v>9</v>
      </c>
      <c r="B54" s="6" t="str">
        <f>'📱 各班抽查登記表'!B16</f>
        <v>P1A</v>
      </c>
      <c r="C54" s="6">
        <f>'📱 各班抽查登記表'!C16</f>
        <v>0</v>
      </c>
      <c r="D54" s="6" t="str">
        <f>'📱 各班抽查登記表'!D16</f>
        <v/>
      </c>
      <c r="E54" s="23" t="str">
        <f>'📱 各班抽查登記表'!E16</f>
        <v/>
      </c>
      <c r="F54" s="23">
        <f>'📱 各班抽查登記表'!F16</f>
        <v>0</v>
      </c>
      <c r="G54" s="24" t="str">
        <f>'📱 各班抽查登記表'!G16</f>
        <v/>
      </c>
      <c r="H54" s="6" t="str">
        <f>'📱 各班抽查登記表'!H16</f>
        <v/>
      </c>
      <c r="I54" s="20">
        <f>'📱 各班抽查登記表'!I16</f>
        <v>0</v>
      </c>
      <c r="J54" s="20">
        <f>'📱 各班抽查登記表'!J16</f>
        <v>0</v>
      </c>
    </row>
    <row r="55" spans="1:10" ht="17">
      <c r="A55" s="6">
        <f>'📱 各班抽查登記表'!A17</f>
        <v>10</v>
      </c>
      <c r="B55" s="6" t="str">
        <f>'📱 各班抽查登記表'!B17</f>
        <v>P1A</v>
      </c>
      <c r="C55" s="6">
        <f>'📱 各班抽查登記表'!C17</f>
        <v>0</v>
      </c>
      <c r="D55" s="6" t="str">
        <f>'📱 各班抽查登記表'!D17</f>
        <v/>
      </c>
      <c r="E55" s="23" t="str">
        <f>'📱 各班抽查登記表'!E17</f>
        <v/>
      </c>
      <c r="F55" s="23">
        <f>'📱 各班抽查登記表'!F17</f>
        <v>0</v>
      </c>
      <c r="G55" s="24" t="str">
        <f>'📱 各班抽查登記表'!G17</f>
        <v/>
      </c>
      <c r="H55" s="6" t="str">
        <f>'📱 各班抽查登記表'!H17</f>
        <v/>
      </c>
      <c r="I55" s="20">
        <f>'📱 各班抽查登記表'!I17</f>
        <v>0</v>
      </c>
      <c r="J55" s="20">
        <f>'📱 各班抽查登記表'!J17</f>
        <v>0</v>
      </c>
    </row>
    <row r="56" spans="1:10" ht="17">
      <c r="A56" s="6">
        <f>'📱 各班抽查登記表'!A18</f>
        <v>11</v>
      </c>
      <c r="B56" s="6" t="str">
        <f>'📱 各班抽查登記表'!B18</f>
        <v>P1A</v>
      </c>
      <c r="C56" s="6">
        <f>'📱 各班抽查登記表'!C18</f>
        <v>0</v>
      </c>
      <c r="D56" s="6" t="str">
        <f>'📱 各班抽查登記表'!D18</f>
        <v/>
      </c>
      <c r="E56" s="23" t="str">
        <f>'📱 各班抽查登記表'!E18</f>
        <v/>
      </c>
      <c r="F56" s="23">
        <f>'📱 各班抽查登記表'!F18</f>
        <v>0</v>
      </c>
      <c r="G56" s="24" t="str">
        <f>'📱 各班抽查登記表'!G18</f>
        <v/>
      </c>
      <c r="H56" s="6" t="str">
        <f>'📱 各班抽查登記表'!H18</f>
        <v/>
      </c>
      <c r="I56" s="20">
        <f>'📱 各班抽查登記表'!I18</f>
        <v>0</v>
      </c>
      <c r="J56" s="20">
        <f>'📱 各班抽查登記表'!J18</f>
        <v>0</v>
      </c>
    </row>
    <row r="57" spans="1:10" ht="17">
      <c r="A57" s="6">
        <f>'📱 各班抽查登記表'!A19</f>
        <v>12</v>
      </c>
      <c r="B57" s="6" t="str">
        <f>'📱 各班抽查登記表'!B19</f>
        <v>P1B</v>
      </c>
      <c r="C57" s="6">
        <f>'📱 各班抽查登記表'!C19</f>
        <v>0</v>
      </c>
      <c r="D57" s="6" t="str">
        <f>'📱 各班抽查登記表'!D19</f>
        <v/>
      </c>
      <c r="E57" s="23" t="str">
        <f>'📱 各班抽查登記表'!E19</f>
        <v/>
      </c>
      <c r="F57" s="23">
        <f>'📱 各班抽查登記表'!F19</f>
        <v>0</v>
      </c>
      <c r="G57" s="24" t="str">
        <f>'📱 各班抽查登記表'!G19</f>
        <v/>
      </c>
      <c r="H57" s="6" t="str">
        <f>'📱 各班抽查登記表'!H19</f>
        <v/>
      </c>
      <c r="I57" s="20">
        <f>'📱 各班抽查登記表'!I19</f>
        <v>0</v>
      </c>
      <c r="J57" s="20">
        <f>'📱 各班抽查登記表'!J19</f>
        <v>0</v>
      </c>
    </row>
    <row r="58" spans="1:10" ht="17">
      <c r="A58" s="6">
        <f>'📱 各班抽查登記表'!A20</f>
        <v>13</v>
      </c>
      <c r="B58" s="6" t="str">
        <f>'📱 各班抽查登記表'!B20</f>
        <v>P1B</v>
      </c>
      <c r="C58" s="6">
        <f>'📱 各班抽查登記表'!C20</f>
        <v>0</v>
      </c>
      <c r="D58" s="6" t="str">
        <f>'📱 各班抽查登記表'!D20</f>
        <v/>
      </c>
      <c r="E58" s="23" t="str">
        <f>'📱 各班抽查登記表'!E20</f>
        <v/>
      </c>
      <c r="F58" s="23">
        <f>'📱 各班抽查登記表'!F20</f>
        <v>0</v>
      </c>
      <c r="G58" s="24" t="str">
        <f>'📱 各班抽查登記表'!G20</f>
        <v/>
      </c>
      <c r="H58" s="6" t="str">
        <f>'📱 各班抽查登記表'!H20</f>
        <v/>
      </c>
      <c r="I58" s="20">
        <f>'📱 各班抽查登記表'!I20</f>
        <v>0</v>
      </c>
      <c r="J58" s="20">
        <f>'📱 各班抽查登記表'!J20</f>
        <v>0</v>
      </c>
    </row>
    <row r="59" spans="1:10" ht="17">
      <c r="A59" s="6">
        <f>'📱 各班抽查登記表'!A21</f>
        <v>14</v>
      </c>
      <c r="B59" s="6" t="str">
        <f>'📱 各班抽查登記表'!B21</f>
        <v>P1B</v>
      </c>
      <c r="C59" s="6">
        <f>'📱 各班抽查登記表'!C21</f>
        <v>0</v>
      </c>
      <c r="D59" s="6" t="str">
        <f>'📱 各班抽查登記表'!D21</f>
        <v/>
      </c>
      <c r="E59" s="23" t="str">
        <f>'📱 各班抽查登記表'!E21</f>
        <v/>
      </c>
      <c r="F59" s="23">
        <f>'📱 各班抽查登記表'!F21</f>
        <v>0</v>
      </c>
      <c r="G59" s="24" t="str">
        <f>'📱 各班抽查登記表'!G21</f>
        <v/>
      </c>
      <c r="H59" s="6" t="str">
        <f>'📱 各班抽查登記表'!H21</f>
        <v/>
      </c>
      <c r="I59" s="20">
        <f>'📱 各班抽查登記表'!I21</f>
        <v>0</v>
      </c>
      <c r="J59" s="20">
        <f>'📱 各班抽查登記表'!J21</f>
        <v>0</v>
      </c>
    </row>
    <row r="60" spans="1:10" ht="17">
      <c r="A60" s="6">
        <f>'📱 各班抽查登記表'!A22</f>
        <v>15</v>
      </c>
      <c r="B60" s="6" t="str">
        <f>'📱 各班抽查登記表'!B22</f>
        <v>P1B</v>
      </c>
      <c r="C60" s="6">
        <f>'📱 各班抽查登記表'!C22</f>
        <v>0</v>
      </c>
      <c r="D60" s="6" t="str">
        <f>'📱 各班抽查登記表'!D22</f>
        <v/>
      </c>
      <c r="E60" s="23" t="str">
        <f>'📱 各班抽查登記表'!E22</f>
        <v/>
      </c>
      <c r="F60" s="23">
        <f>'📱 各班抽查登記表'!F22</f>
        <v>0</v>
      </c>
      <c r="G60" s="24" t="str">
        <f>'📱 各班抽查登記表'!G22</f>
        <v/>
      </c>
      <c r="H60" s="6" t="str">
        <f>'📱 各班抽查登記表'!H22</f>
        <v/>
      </c>
      <c r="I60" s="20">
        <f>'📱 各班抽查登記表'!I22</f>
        <v>0</v>
      </c>
      <c r="J60" s="20">
        <f>'📱 各班抽查登記表'!J22</f>
        <v>0</v>
      </c>
    </row>
    <row r="61" spans="1:10" ht="17">
      <c r="A61" s="6">
        <f>'📱 各班抽查登記表'!A23</f>
        <v>16</v>
      </c>
      <c r="B61" s="6" t="str">
        <f>'📱 各班抽查登記表'!B23</f>
        <v>P1B</v>
      </c>
      <c r="C61" s="6">
        <f>'📱 各班抽查登記表'!C23</f>
        <v>0</v>
      </c>
      <c r="D61" s="6" t="str">
        <f>'📱 各班抽查登記表'!D23</f>
        <v/>
      </c>
      <c r="E61" s="23" t="str">
        <f>'📱 各班抽查登記表'!E23</f>
        <v/>
      </c>
      <c r="F61" s="23">
        <f>'📱 各班抽查登記表'!F23</f>
        <v>0</v>
      </c>
      <c r="G61" s="24" t="str">
        <f>'📱 各班抽查登記表'!G23</f>
        <v/>
      </c>
      <c r="H61" s="6" t="str">
        <f>'📱 各班抽查登記表'!H23</f>
        <v/>
      </c>
      <c r="I61" s="20">
        <f>'📱 各班抽查登記表'!I23</f>
        <v>0</v>
      </c>
      <c r="J61" s="20">
        <f>'📱 各班抽查登記表'!J23</f>
        <v>0</v>
      </c>
    </row>
    <row r="62" spans="1:10" ht="17">
      <c r="A62" s="6">
        <f>'📱 各班抽查登記表'!A24</f>
        <v>17</v>
      </c>
      <c r="B62" s="6" t="str">
        <f>'📱 各班抽查登記表'!B24</f>
        <v>P1B</v>
      </c>
      <c r="C62" s="6">
        <f>'📱 各班抽查登記表'!C24</f>
        <v>0</v>
      </c>
      <c r="D62" s="6" t="str">
        <f>'📱 各班抽查登記表'!D24</f>
        <v/>
      </c>
      <c r="E62" s="23" t="str">
        <f>'📱 各班抽查登記表'!E24</f>
        <v/>
      </c>
      <c r="F62" s="23">
        <f>'📱 各班抽查登記表'!F24</f>
        <v>0</v>
      </c>
      <c r="G62" s="24" t="str">
        <f>'📱 各班抽查登記表'!G24</f>
        <v/>
      </c>
      <c r="H62" s="6" t="str">
        <f>'📱 各班抽查登記表'!H24</f>
        <v/>
      </c>
      <c r="I62" s="20">
        <f>'📱 各班抽查登記表'!I24</f>
        <v>0</v>
      </c>
      <c r="J62" s="20">
        <f>'📱 各班抽查登記表'!J24</f>
        <v>0</v>
      </c>
    </row>
    <row r="63" spans="1:10" ht="17">
      <c r="A63" s="6">
        <f>'📱 各班抽查登記表'!A25</f>
        <v>18</v>
      </c>
      <c r="B63" s="6" t="str">
        <f>'📱 各班抽查登記表'!B25</f>
        <v>P1B</v>
      </c>
      <c r="C63" s="6">
        <f>'📱 各班抽查登記表'!C25</f>
        <v>0</v>
      </c>
      <c r="D63" s="6" t="str">
        <f>'📱 各班抽查登記表'!D25</f>
        <v/>
      </c>
      <c r="E63" s="23" t="str">
        <f>'📱 各班抽查登記表'!E25</f>
        <v/>
      </c>
      <c r="F63" s="23">
        <f>'📱 各班抽查登記表'!F25</f>
        <v>0</v>
      </c>
      <c r="G63" s="24" t="str">
        <f>'📱 各班抽查登記表'!G25</f>
        <v/>
      </c>
      <c r="H63" s="6" t="str">
        <f>'📱 各班抽查登記表'!H25</f>
        <v/>
      </c>
      <c r="I63" s="20">
        <f>'📱 各班抽查登記表'!I25</f>
        <v>0</v>
      </c>
      <c r="J63" s="20">
        <f>'📱 各班抽查登記表'!J25</f>
        <v>0</v>
      </c>
    </row>
    <row r="64" spans="1:10" ht="17">
      <c r="A64" s="6">
        <f>'📱 各班抽查登記表'!A26</f>
        <v>19</v>
      </c>
      <c r="B64" s="6" t="str">
        <f>'📱 各班抽查登記表'!B26</f>
        <v>P1B</v>
      </c>
      <c r="C64" s="6">
        <f>'📱 各班抽查登記表'!C26</f>
        <v>0</v>
      </c>
      <c r="D64" s="6" t="str">
        <f>'📱 各班抽查登記表'!D26</f>
        <v/>
      </c>
      <c r="E64" s="23" t="str">
        <f>'📱 各班抽查登記表'!E26</f>
        <v/>
      </c>
      <c r="F64" s="23">
        <f>'📱 各班抽查登記表'!F26</f>
        <v>0</v>
      </c>
      <c r="G64" s="24" t="str">
        <f>'📱 各班抽查登記表'!G26</f>
        <v/>
      </c>
      <c r="H64" s="6" t="str">
        <f>'📱 各班抽查登記表'!H26</f>
        <v/>
      </c>
      <c r="I64" s="20">
        <f>'📱 各班抽查登記表'!I26</f>
        <v>0</v>
      </c>
      <c r="J64" s="20">
        <f>'📱 各班抽查登記表'!J26</f>
        <v>0</v>
      </c>
    </row>
    <row r="65" spans="1:10" ht="17">
      <c r="A65" s="6">
        <f>'📱 各班抽查登記表'!A27</f>
        <v>20</v>
      </c>
      <c r="B65" s="6" t="str">
        <f>'📱 各班抽查登記表'!B27</f>
        <v>P1B</v>
      </c>
      <c r="C65" s="6">
        <f>'📱 各班抽查登記表'!C27</f>
        <v>0</v>
      </c>
      <c r="D65" s="6" t="str">
        <f>'📱 各班抽查登記表'!D27</f>
        <v/>
      </c>
      <c r="E65" s="23" t="str">
        <f>'📱 各班抽查登記表'!E27</f>
        <v/>
      </c>
      <c r="F65" s="23">
        <f>'📱 各班抽查登記表'!F27</f>
        <v>0</v>
      </c>
      <c r="G65" s="24" t="str">
        <f>'📱 各班抽查登記表'!G27</f>
        <v/>
      </c>
      <c r="H65" s="6" t="str">
        <f>'📱 各班抽查登記表'!H27</f>
        <v/>
      </c>
      <c r="I65" s="20">
        <f>'📱 各班抽查登記表'!I27</f>
        <v>0</v>
      </c>
      <c r="J65" s="20">
        <f>'📱 各班抽查登記表'!J27</f>
        <v>0</v>
      </c>
    </row>
    <row r="66" spans="1:10" ht="17">
      <c r="A66" s="6">
        <f>'📱 各班抽查登記表'!A28</f>
        <v>21</v>
      </c>
      <c r="B66" s="6" t="str">
        <f>'📱 各班抽查登記表'!B28</f>
        <v>P1B</v>
      </c>
      <c r="C66" s="6">
        <f>'📱 各班抽查登記表'!C28</f>
        <v>0</v>
      </c>
      <c r="D66" s="6" t="str">
        <f>'📱 各班抽查登記表'!D28</f>
        <v/>
      </c>
      <c r="E66" s="23" t="str">
        <f>'📱 各班抽查登記表'!E28</f>
        <v/>
      </c>
      <c r="F66" s="23">
        <f>'📱 各班抽查登記表'!F28</f>
        <v>0</v>
      </c>
      <c r="G66" s="24" t="str">
        <f>'📱 各班抽查登記表'!G28</f>
        <v/>
      </c>
      <c r="H66" s="6" t="str">
        <f>'📱 各班抽查登記表'!H28</f>
        <v/>
      </c>
      <c r="I66" s="20">
        <f>'📱 各班抽查登記表'!I28</f>
        <v>0</v>
      </c>
      <c r="J66" s="20">
        <f>'📱 各班抽查登記表'!J28</f>
        <v>0</v>
      </c>
    </row>
    <row r="67" spans="1:10" ht="17">
      <c r="A67" s="6">
        <f>'📱 各班抽查登記表'!A29</f>
        <v>22</v>
      </c>
      <c r="B67" s="6" t="str">
        <f>'📱 各班抽查登記表'!B29</f>
        <v>P1B</v>
      </c>
      <c r="C67" s="6">
        <f>'📱 各班抽查登記表'!C29</f>
        <v>0</v>
      </c>
      <c r="D67" s="6" t="str">
        <f>'📱 各班抽查登記表'!D29</f>
        <v/>
      </c>
      <c r="E67" s="23" t="str">
        <f>'📱 各班抽查登記表'!E29</f>
        <v/>
      </c>
      <c r="F67" s="23">
        <f>'📱 各班抽查登記表'!F29</f>
        <v>0</v>
      </c>
      <c r="G67" s="24" t="str">
        <f>'📱 各班抽查登記表'!G29</f>
        <v/>
      </c>
      <c r="H67" s="6" t="str">
        <f>'📱 各班抽查登記表'!H29</f>
        <v/>
      </c>
      <c r="I67" s="20">
        <f>'📱 各班抽查登記表'!I29</f>
        <v>0</v>
      </c>
      <c r="J67" s="20">
        <f>'📱 各班抽查登記表'!J29</f>
        <v>0</v>
      </c>
    </row>
    <row r="68" spans="1:10" ht="17">
      <c r="A68" s="6">
        <f>'📱 各班抽查登記表'!A30</f>
        <v>23</v>
      </c>
      <c r="B68" s="6" t="str">
        <f>'📱 各班抽查登記表'!B30</f>
        <v>P1C</v>
      </c>
      <c r="C68" s="6">
        <f>'📱 各班抽查登記表'!C30</f>
        <v>0</v>
      </c>
      <c r="D68" s="6" t="str">
        <f>'📱 各班抽查登記表'!D30</f>
        <v/>
      </c>
      <c r="E68" s="23" t="str">
        <f>'📱 各班抽查登記表'!E30</f>
        <v/>
      </c>
      <c r="F68" s="23">
        <f>'📱 各班抽查登記表'!F30</f>
        <v>0</v>
      </c>
      <c r="G68" s="24" t="str">
        <f>'📱 各班抽查登記表'!G30</f>
        <v/>
      </c>
      <c r="H68" s="6" t="str">
        <f>'📱 各班抽查登記表'!H30</f>
        <v/>
      </c>
      <c r="I68" s="20">
        <f>'📱 各班抽查登記表'!I30</f>
        <v>0</v>
      </c>
      <c r="J68" s="20">
        <f>'📱 各班抽查登記表'!J30</f>
        <v>0</v>
      </c>
    </row>
    <row r="69" spans="1:10" ht="17">
      <c r="A69" s="6">
        <f>'📱 各班抽查登記表'!A31</f>
        <v>24</v>
      </c>
      <c r="B69" s="6" t="str">
        <f>'📱 各班抽查登記表'!B31</f>
        <v>P1C</v>
      </c>
      <c r="C69" s="6">
        <f>'📱 各班抽查登記表'!C31</f>
        <v>0</v>
      </c>
      <c r="D69" s="6" t="str">
        <f>'📱 各班抽查登記表'!D31</f>
        <v/>
      </c>
      <c r="E69" s="23" t="str">
        <f>'📱 各班抽查登記表'!E31</f>
        <v/>
      </c>
      <c r="F69" s="23">
        <f>'📱 各班抽查登記表'!F31</f>
        <v>0</v>
      </c>
      <c r="G69" s="24" t="str">
        <f>'📱 各班抽查登記表'!G31</f>
        <v/>
      </c>
      <c r="H69" s="6" t="str">
        <f>'📱 各班抽查登記表'!H31</f>
        <v/>
      </c>
      <c r="I69" s="20">
        <f>'📱 各班抽查登記表'!I31</f>
        <v>0</v>
      </c>
      <c r="J69" s="20">
        <f>'📱 各班抽查登記表'!J31</f>
        <v>0</v>
      </c>
    </row>
    <row r="70" spans="1:10" ht="17">
      <c r="A70" s="6">
        <f>'📱 各班抽查登記表'!A32</f>
        <v>25</v>
      </c>
      <c r="B70" s="6" t="str">
        <f>'📱 各班抽查登記表'!B32</f>
        <v>P1C</v>
      </c>
      <c r="C70" s="6">
        <f>'📱 各班抽查登記表'!C32</f>
        <v>0</v>
      </c>
      <c r="D70" s="6" t="str">
        <f>'📱 各班抽查登記表'!D32</f>
        <v/>
      </c>
      <c r="E70" s="23" t="str">
        <f>'📱 各班抽查登記表'!E32</f>
        <v/>
      </c>
      <c r="F70" s="23">
        <f>'📱 各班抽查登記表'!F32</f>
        <v>0</v>
      </c>
      <c r="G70" s="24" t="str">
        <f>'📱 各班抽查登記表'!G32</f>
        <v/>
      </c>
      <c r="H70" s="6" t="str">
        <f>'📱 各班抽查登記表'!H32</f>
        <v/>
      </c>
      <c r="I70" s="20">
        <f>'📱 各班抽查登記表'!I32</f>
        <v>0</v>
      </c>
      <c r="J70" s="20">
        <f>'📱 各班抽查登記表'!J32</f>
        <v>0</v>
      </c>
    </row>
    <row r="71" spans="1:10" ht="17">
      <c r="A71" s="6">
        <f>'📱 各班抽查登記表'!A33</f>
        <v>26</v>
      </c>
      <c r="B71" s="6" t="str">
        <f>'📱 各班抽查登記表'!B33</f>
        <v>P1C</v>
      </c>
      <c r="C71" s="6">
        <f>'📱 各班抽查登記表'!C33</f>
        <v>0</v>
      </c>
      <c r="D71" s="6" t="str">
        <f>'📱 各班抽查登記表'!D33</f>
        <v/>
      </c>
      <c r="E71" s="23" t="str">
        <f>'📱 各班抽查登記表'!E33</f>
        <v/>
      </c>
      <c r="F71" s="23">
        <f>'📱 各班抽查登記表'!F33</f>
        <v>0</v>
      </c>
      <c r="G71" s="24" t="str">
        <f>'📱 各班抽查登記表'!G33</f>
        <v/>
      </c>
      <c r="H71" s="6" t="str">
        <f>'📱 各班抽查登記表'!H33</f>
        <v/>
      </c>
      <c r="I71" s="20">
        <f>'📱 各班抽查登記表'!I33</f>
        <v>0</v>
      </c>
      <c r="J71" s="20">
        <f>'📱 各班抽查登記表'!J33</f>
        <v>0</v>
      </c>
    </row>
    <row r="72" spans="1:10" ht="17">
      <c r="A72" s="6">
        <f>'📱 各班抽查登記表'!A34</f>
        <v>27</v>
      </c>
      <c r="B72" s="6" t="str">
        <f>'📱 各班抽查登記表'!B34</f>
        <v>P1C</v>
      </c>
      <c r="C72" s="6">
        <f>'📱 各班抽查登記表'!C34</f>
        <v>0</v>
      </c>
      <c r="D72" s="6" t="str">
        <f>'📱 各班抽查登記表'!D34</f>
        <v/>
      </c>
      <c r="E72" s="23" t="str">
        <f>'📱 各班抽查登記表'!E34</f>
        <v/>
      </c>
      <c r="F72" s="23">
        <f>'📱 各班抽查登記表'!F34</f>
        <v>0</v>
      </c>
      <c r="G72" s="24" t="str">
        <f>'📱 各班抽查登記表'!G34</f>
        <v/>
      </c>
      <c r="H72" s="6" t="str">
        <f>'📱 各班抽查登記表'!H34</f>
        <v/>
      </c>
      <c r="I72" s="20">
        <f>'📱 各班抽查登記表'!I34</f>
        <v>0</v>
      </c>
      <c r="J72" s="20">
        <f>'📱 各班抽查登記表'!J34</f>
        <v>0</v>
      </c>
    </row>
    <row r="73" spans="1:10" ht="17">
      <c r="A73" s="6">
        <f>'📱 各班抽查登記表'!A35</f>
        <v>28</v>
      </c>
      <c r="B73" s="6" t="str">
        <f>'📱 各班抽查登記表'!B35</f>
        <v>P1C</v>
      </c>
      <c r="C73" s="6">
        <f>'📱 各班抽查登記表'!C35</f>
        <v>0</v>
      </c>
      <c r="D73" s="6" t="str">
        <f>'📱 各班抽查登記表'!D35</f>
        <v/>
      </c>
      <c r="E73" s="23" t="str">
        <f>'📱 各班抽查登記表'!E35</f>
        <v/>
      </c>
      <c r="F73" s="23">
        <f>'📱 各班抽查登記表'!F35</f>
        <v>0</v>
      </c>
      <c r="G73" s="24" t="str">
        <f>'📱 各班抽查登記表'!G35</f>
        <v/>
      </c>
      <c r="H73" s="6" t="str">
        <f>'📱 各班抽查登記表'!H35</f>
        <v/>
      </c>
      <c r="I73" s="20">
        <f>'📱 各班抽查登記表'!I35</f>
        <v>0</v>
      </c>
      <c r="J73" s="20">
        <f>'📱 各班抽查登記表'!J35</f>
        <v>0</v>
      </c>
    </row>
    <row r="74" spans="1:10" ht="17">
      <c r="A74" s="6">
        <f>'📱 各班抽查登記表'!A36</f>
        <v>29</v>
      </c>
      <c r="B74" s="6" t="str">
        <f>'📱 各班抽查登記表'!B36</f>
        <v>P1C</v>
      </c>
      <c r="C74" s="6">
        <f>'📱 各班抽查登記表'!C36</f>
        <v>0</v>
      </c>
      <c r="D74" s="6" t="str">
        <f>'📱 各班抽查登記表'!D36</f>
        <v/>
      </c>
      <c r="E74" s="23" t="str">
        <f>'📱 各班抽查登記表'!E36</f>
        <v/>
      </c>
      <c r="F74" s="23">
        <f>'📱 各班抽查登記表'!F36</f>
        <v>0</v>
      </c>
      <c r="G74" s="24" t="str">
        <f>'📱 各班抽查登記表'!G36</f>
        <v/>
      </c>
      <c r="H74" s="6" t="str">
        <f>'📱 各班抽查登記表'!H36</f>
        <v/>
      </c>
      <c r="I74" s="20">
        <f>'📱 各班抽查登記表'!I36</f>
        <v>0</v>
      </c>
      <c r="J74" s="20">
        <f>'📱 各班抽查登記表'!J36</f>
        <v>0</v>
      </c>
    </row>
    <row r="75" spans="1:10" ht="17">
      <c r="A75" s="6">
        <f>'📱 各班抽查登記表'!A37</f>
        <v>30</v>
      </c>
      <c r="B75" s="6" t="str">
        <f>'📱 各班抽查登記表'!B37</f>
        <v>P1C</v>
      </c>
      <c r="C75" s="6">
        <f>'📱 各班抽查登記表'!C37</f>
        <v>0</v>
      </c>
      <c r="D75" s="6" t="str">
        <f>'📱 各班抽查登記表'!D37</f>
        <v/>
      </c>
      <c r="E75" s="23" t="str">
        <f>'📱 各班抽查登記表'!E37</f>
        <v/>
      </c>
      <c r="F75" s="23">
        <f>'📱 各班抽查登記表'!F37</f>
        <v>0</v>
      </c>
      <c r="G75" s="24" t="str">
        <f>'📱 各班抽查登記表'!G37</f>
        <v/>
      </c>
      <c r="H75" s="6" t="str">
        <f>'📱 各班抽查登記表'!H37</f>
        <v/>
      </c>
      <c r="I75" s="20">
        <f>'📱 各班抽查登記表'!I37</f>
        <v>0</v>
      </c>
      <c r="J75" s="20">
        <f>'📱 各班抽查登記表'!J37</f>
        <v>0</v>
      </c>
    </row>
    <row r="76" spans="1:10" ht="17">
      <c r="A76" s="6">
        <f>'📱 各班抽查登記表'!A38</f>
        <v>31</v>
      </c>
      <c r="B76" s="6" t="str">
        <f>'📱 各班抽查登記表'!B38</f>
        <v>P1C</v>
      </c>
      <c r="C76" s="6">
        <f>'📱 各班抽查登記表'!C38</f>
        <v>0</v>
      </c>
      <c r="D76" s="6" t="str">
        <f>'📱 各班抽查登記表'!D38</f>
        <v/>
      </c>
      <c r="E76" s="23" t="str">
        <f>'📱 各班抽查登記表'!E38</f>
        <v/>
      </c>
      <c r="F76" s="23">
        <f>'📱 各班抽查登記表'!F38</f>
        <v>0</v>
      </c>
      <c r="G76" s="24" t="str">
        <f>'📱 各班抽查登記表'!G38</f>
        <v/>
      </c>
      <c r="H76" s="6" t="str">
        <f>'📱 各班抽查登記表'!H38</f>
        <v/>
      </c>
      <c r="I76" s="20">
        <f>'📱 各班抽查登記表'!I38</f>
        <v>0</v>
      </c>
      <c r="J76" s="20">
        <f>'📱 各班抽查登記表'!J38</f>
        <v>0</v>
      </c>
    </row>
    <row r="77" spans="1:10" ht="17">
      <c r="A77" s="6">
        <f>'📱 各班抽查登記表'!A39</f>
        <v>32</v>
      </c>
      <c r="B77" s="6" t="str">
        <f>'📱 各班抽查登記表'!B39</f>
        <v>P1C</v>
      </c>
      <c r="C77" s="6">
        <f>'📱 各班抽查登記表'!C39</f>
        <v>0</v>
      </c>
      <c r="D77" s="6" t="str">
        <f>'📱 各班抽查登記表'!D39</f>
        <v/>
      </c>
      <c r="E77" s="23" t="str">
        <f>'📱 各班抽查登記表'!E39</f>
        <v/>
      </c>
      <c r="F77" s="23">
        <f>'📱 各班抽查登記表'!F39</f>
        <v>0</v>
      </c>
      <c r="G77" s="24" t="str">
        <f>'📱 各班抽查登記表'!G39</f>
        <v/>
      </c>
      <c r="H77" s="6" t="str">
        <f>'📱 各班抽查登記表'!H39</f>
        <v/>
      </c>
      <c r="I77" s="20">
        <f>'📱 各班抽查登記表'!I39</f>
        <v>0</v>
      </c>
      <c r="J77" s="20">
        <f>'📱 各班抽查登記表'!J39</f>
        <v>0</v>
      </c>
    </row>
    <row r="78" spans="1:10" ht="17">
      <c r="A78" s="6">
        <f>'📱 各班抽查登記表'!A40</f>
        <v>33</v>
      </c>
      <c r="B78" s="6" t="str">
        <f>'📱 各班抽查登記表'!B40</f>
        <v>P1C</v>
      </c>
      <c r="C78" s="6">
        <f>'📱 各班抽查登記表'!C40</f>
        <v>0</v>
      </c>
      <c r="D78" s="6" t="str">
        <f>'📱 各班抽查登記表'!D40</f>
        <v/>
      </c>
      <c r="E78" s="23" t="str">
        <f>'📱 各班抽查登記表'!E40</f>
        <v/>
      </c>
      <c r="F78" s="23">
        <f>'📱 各班抽查登記表'!F40</f>
        <v>0</v>
      </c>
      <c r="G78" s="24" t="str">
        <f>'📱 各班抽查登記表'!G40</f>
        <v/>
      </c>
      <c r="H78" s="6" t="str">
        <f>'📱 各班抽查登記表'!H40</f>
        <v/>
      </c>
      <c r="I78" s="20">
        <f>'📱 各班抽查登記表'!I40</f>
        <v>0</v>
      </c>
      <c r="J78" s="20">
        <f>'📱 各班抽查登記表'!J40</f>
        <v>0</v>
      </c>
    </row>
    <row r="79" spans="1:10" ht="17">
      <c r="A79" s="6">
        <f>'📱 各班抽查登記表'!A41</f>
        <v>34</v>
      </c>
      <c r="B79" s="6" t="str">
        <f>'📱 各班抽查登記表'!B41</f>
        <v>P2A</v>
      </c>
      <c r="C79" s="6">
        <f>'📱 各班抽查登記表'!C41</f>
        <v>0</v>
      </c>
      <c r="D79" s="6" t="str">
        <f>'📱 各班抽查登記表'!D41</f>
        <v/>
      </c>
      <c r="E79" s="23" t="str">
        <f>'📱 各班抽查登記表'!E41</f>
        <v/>
      </c>
      <c r="F79" s="23">
        <f>'📱 各班抽查登記表'!F41</f>
        <v>0</v>
      </c>
      <c r="G79" s="24" t="str">
        <f>'📱 各班抽查登記表'!G41</f>
        <v/>
      </c>
      <c r="H79" s="6" t="str">
        <f>'📱 各班抽查登記表'!H41</f>
        <v/>
      </c>
      <c r="I79" s="20">
        <f>'📱 各班抽查登記表'!I41</f>
        <v>0</v>
      </c>
      <c r="J79" s="20">
        <f>'📱 各班抽查登記表'!J41</f>
        <v>0</v>
      </c>
    </row>
    <row r="80" spans="1:10" ht="17">
      <c r="A80" s="6">
        <f>'📱 各班抽查登記表'!A42</f>
        <v>35</v>
      </c>
      <c r="B80" s="6" t="str">
        <f>'📱 各班抽查登記表'!B42</f>
        <v>P2A</v>
      </c>
      <c r="C80" s="6">
        <f>'📱 各班抽查登記表'!C42</f>
        <v>0</v>
      </c>
      <c r="D80" s="6" t="str">
        <f>'📱 各班抽查登記表'!D42</f>
        <v/>
      </c>
      <c r="E80" s="23" t="str">
        <f>'📱 各班抽查登記表'!E42</f>
        <v/>
      </c>
      <c r="F80" s="23">
        <f>'📱 各班抽查登記表'!F42</f>
        <v>0</v>
      </c>
      <c r="G80" s="24" t="str">
        <f>'📱 各班抽查登記表'!G42</f>
        <v/>
      </c>
      <c r="H80" s="6" t="str">
        <f>'📱 各班抽查登記表'!H42</f>
        <v/>
      </c>
      <c r="I80" s="20">
        <f>'📱 各班抽查登記表'!I42</f>
        <v>0</v>
      </c>
      <c r="J80" s="20">
        <f>'📱 各班抽查登記表'!J42</f>
        <v>0</v>
      </c>
    </row>
    <row r="81" spans="1:10" ht="17">
      <c r="A81" s="6">
        <f>'📱 各班抽查登記表'!A43</f>
        <v>36</v>
      </c>
      <c r="B81" s="6" t="str">
        <f>'📱 各班抽查登記表'!B43</f>
        <v>P2A</v>
      </c>
      <c r="C81" s="6">
        <f>'📱 各班抽查登記表'!C43</f>
        <v>0</v>
      </c>
      <c r="D81" s="6" t="str">
        <f>'📱 各班抽查登記表'!D43</f>
        <v/>
      </c>
      <c r="E81" s="23" t="str">
        <f>'📱 各班抽查登記表'!E43</f>
        <v/>
      </c>
      <c r="F81" s="23">
        <f>'📱 各班抽查登記表'!F43</f>
        <v>0</v>
      </c>
      <c r="G81" s="24" t="str">
        <f>'📱 各班抽查登記表'!G43</f>
        <v/>
      </c>
      <c r="H81" s="6" t="str">
        <f>'📱 各班抽查登記表'!H43</f>
        <v/>
      </c>
      <c r="I81" s="20">
        <f>'📱 各班抽查登記表'!I43</f>
        <v>0</v>
      </c>
      <c r="J81" s="20">
        <f>'📱 各班抽查登記表'!J43</f>
        <v>0</v>
      </c>
    </row>
    <row r="82" spans="1:10" ht="17">
      <c r="A82" s="6">
        <f>'📱 各班抽查登記表'!A44</f>
        <v>37</v>
      </c>
      <c r="B82" s="6" t="str">
        <f>'📱 各班抽查登記表'!B44</f>
        <v>P2A</v>
      </c>
      <c r="C82" s="6">
        <f>'📱 各班抽查登記表'!C44</f>
        <v>0</v>
      </c>
      <c r="D82" s="6" t="str">
        <f>'📱 各班抽查登記表'!D44</f>
        <v/>
      </c>
      <c r="E82" s="23" t="str">
        <f>'📱 各班抽查登記表'!E44</f>
        <v/>
      </c>
      <c r="F82" s="23">
        <f>'📱 各班抽查登記表'!F44</f>
        <v>0</v>
      </c>
      <c r="G82" s="24" t="str">
        <f>'📱 各班抽查登記表'!G44</f>
        <v/>
      </c>
      <c r="H82" s="6" t="str">
        <f>'📱 各班抽查登記表'!H44</f>
        <v/>
      </c>
      <c r="I82" s="20">
        <f>'📱 各班抽查登記表'!I44</f>
        <v>0</v>
      </c>
      <c r="J82" s="20">
        <f>'📱 各班抽查登記表'!J44</f>
        <v>0</v>
      </c>
    </row>
    <row r="83" spans="1:10" ht="17">
      <c r="A83" s="6">
        <f>'📱 各班抽查登記表'!A45</f>
        <v>38</v>
      </c>
      <c r="B83" s="6" t="str">
        <f>'📱 各班抽查登記表'!B45</f>
        <v>P2A</v>
      </c>
      <c r="C83" s="6">
        <f>'📱 各班抽查登記表'!C45</f>
        <v>0</v>
      </c>
      <c r="D83" s="6" t="str">
        <f>'📱 各班抽查登記表'!D45</f>
        <v/>
      </c>
      <c r="E83" s="23" t="str">
        <f>'📱 各班抽查登記表'!E45</f>
        <v/>
      </c>
      <c r="F83" s="23">
        <f>'📱 各班抽查登記表'!F45</f>
        <v>0</v>
      </c>
      <c r="G83" s="24" t="str">
        <f>'📱 各班抽查登記表'!G45</f>
        <v/>
      </c>
      <c r="H83" s="6" t="str">
        <f>'📱 各班抽查登記表'!H45</f>
        <v/>
      </c>
      <c r="I83" s="20">
        <f>'📱 各班抽查登記表'!I45</f>
        <v>0</v>
      </c>
      <c r="J83" s="20">
        <f>'📱 各班抽查登記表'!J45</f>
        <v>0</v>
      </c>
    </row>
    <row r="84" spans="1:10" ht="17">
      <c r="A84" s="6">
        <f>'📱 各班抽查登記表'!A46</f>
        <v>39</v>
      </c>
      <c r="B84" s="6" t="str">
        <f>'📱 各班抽查登記表'!B46</f>
        <v>P2A</v>
      </c>
      <c r="C84" s="6">
        <f>'📱 各班抽查登記表'!C46</f>
        <v>0</v>
      </c>
      <c r="D84" s="6" t="str">
        <f>'📱 各班抽查登記表'!D46</f>
        <v/>
      </c>
      <c r="E84" s="23" t="str">
        <f>'📱 各班抽查登記表'!E46</f>
        <v/>
      </c>
      <c r="F84" s="23">
        <f>'📱 各班抽查登記表'!F46</f>
        <v>0</v>
      </c>
      <c r="G84" s="24" t="str">
        <f>'📱 各班抽查登記表'!G46</f>
        <v/>
      </c>
      <c r="H84" s="6" t="str">
        <f>'📱 各班抽查登記表'!H46</f>
        <v/>
      </c>
      <c r="I84" s="20">
        <f>'📱 各班抽查登記表'!I46</f>
        <v>0</v>
      </c>
      <c r="J84" s="20">
        <f>'📱 各班抽查登記表'!J46</f>
        <v>0</v>
      </c>
    </row>
    <row r="85" spans="1:10" ht="17">
      <c r="A85" s="6">
        <f>'📱 各班抽查登記表'!A47</f>
        <v>40</v>
      </c>
      <c r="B85" s="6" t="str">
        <f>'📱 各班抽查登記表'!B47</f>
        <v>P2A</v>
      </c>
      <c r="C85" s="6">
        <f>'📱 各班抽查登記表'!C47</f>
        <v>0</v>
      </c>
      <c r="D85" s="6" t="str">
        <f>'📱 各班抽查登記表'!D47</f>
        <v/>
      </c>
      <c r="E85" s="23" t="str">
        <f>'📱 各班抽查登記表'!E47</f>
        <v/>
      </c>
      <c r="F85" s="23">
        <f>'📱 各班抽查登記表'!F47</f>
        <v>0</v>
      </c>
      <c r="G85" s="24" t="str">
        <f>'📱 各班抽查登記表'!G47</f>
        <v/>
      </c>
      <c r="H85" s="6" t="str">
        <f>'📱 各班抽查登記表'!H47</f>
        <v/>
      </c>
      <c r="I85" s="20">
        <f>'📱 各班抽查登記表'!I47</f>
        <v>0</v>
      </c>
      <c r="J85" s="20">
        <f>'📱 各班抽查登記表'!J47</f>
        <v>0</v>
      </c>
    </row>
    <row r="86" spans="1:10" ht="17">
      <c r="A86" s="6">
        <f>'📱 各班抽查登記表'!A48</f>
        <v>41</v>
      </c>
      <c r="B86" s="6" t="str">
        <f>'📱 各班抽查登記表'!B48</f>
        <v>P2A</v>
      </c>
      <c r="C86" s="6">
        <f>'📱 各班抽查登記表'!C48</f>
        <v>0</v>
      </c>
      <c r="D86" s="6" t="str">
        <f>'📱 各班抽查登記表'!D48</f>
        <v/>
      </c>
      <c r="E86" s="23" t="str">
        <f>'📱 各班抽查登記表'!E48</f>
        <v/>
      </c>
      <c r="F86" s="23">
        <f>'📱 各班抽查登記表'!F48</f>
        <v>0</v>
      </c>
      <c r="G86" s="24" t="str">
        <f>'📱 各班抽查登記表'!G48</f>
        <v/>
      </c>
      <c r="H86" s="6" t="str">
        <f>'📱 各班抽查登記表'!H48</f>
        <v/>
      </c>
      <c r="I86" s="20">
        <f>'📱 各班抽查登記表'!I48</f>
        <v>0</v>
      </c>
      <c r="J86" s="20">
        <f>'📱 各班抽查登記表'!J48</f>
        <v>0</v>
      </c>
    </row>
    <row r="87" spans="1:10" ht="17">
      <c r="A87" s="6">
        <f>'📱 各班抽查登記表'!A49</f>
        <v>42</v>
      </c>
      <c r="B87" s="6" t="str">
        <f>'📱 各班抽查登記表'!B49</f>
        <v>P2A</v>
      </c>
      <c r="C87" s="6">
        <f>'📱 各班抽查登記表'!C49</f>
        <v>0</v>
      </c>
      <c r="D87" s="6" t="str">
        <f>'📱 各班抽查登記表'!D49</f>
        <v/>
      </c>
      <c r="E87" s="23" t="str">
        <f>'📱 各班抽查登記表'!E49</f>
        <v/>
      </c>
      <c r="F87" s="23">
        <f>'📱 各班抽查登記表'!F49</f>
        <v>0</v>
      </c>
      <c r="G87" s="24" t="str">
        <f>'📱 各班抽查登記表'!G49</f>
        <v/>
      </c>
      <c r="H87" s="6" t="str">
        <f>'📱 各班抽查登記表'!H49</f>
        <v/>
      </c>
      <c r="I87" s="20">
        <f>'📱 各班抽查登記表'!I49</f>
        <v>0</v>
      </c>
      <c r="J87" s="20">
        <f>'📱 各班抽查登記表'!J49</f>
        <v>0</v>
      </c>
    </row>
    <row r="88" spans="1:10" ht="17">
      <c r="A88" s="6">
        <f>'📱 各班抽查登記表'!A50</f>
        <v>43</v>
      </c>
      <c r="B88" s="6" t="str">
        <f>'📱 各班抽查登記表'!B50</f>
        <v>P2A</v>
      </c>
      <c r="C88" s="6">
        <f>'📱 各班抽查登記表'!C50</f>
        <v>0</v>
      </c>
      <c r="D88" s="6" t="str">
        <f>'📱 各班抽查登記表'!D50</f>
        <v/>
      </c>
      <c r="E88" s="23" t="str">
        <f>'📱 各班抽查登記表'!E50</f>
        <v/>
      </c>
      <c r="F88" s="23">
        <f>'📱 各班抽查登記表'!F50</f>
        <v>0</v>
      </c>
      <c r="G88" s="24" t="str">
        <f>'📱 各班抽查登記表'!G50</f>
        <v/>
      </c>
      <c r="H88" s="6" t="str">
        <f>'📱 各班抽查登記表'!H50</f>
        <v/>
      </c>
      <c r="I88" s="20">
        <f>'📱 各班抽查登記表'!I50</f>
        <v>0</v>
      </c>
      <c r="J88" s="20">
        <f>'📱 各班抽查登記表'!J50</f>
        <v>0</v>
      </c>
    </row>
    <row r="89" spans="1:10" ht="17">
      <c r="A89" s="6">
        <f>'📱 各班抽查登記表'!A51</f>
        <v>44</v>
      </c>
      <c r="B89" s="6" t="str">
        <f>'📱 各班抽查登記表'!B51</f>
        <v>P2A</v>
      </c>
      <c r="C89" s="6">
        <f>'📱 各班抽查登記表'!C51</f>
        <v>0</v>
      </c>
      <c r="D89" s="6" t="str">
        <f>'📱 各班抽查登記表'!D51</f>
        <v/>
      </c>
      <c r="E89" s="23" t="str">
        <f>'📱 各班抽查登記表'!E51</f>
        <v/>
      </c>
      <c r="F89" s="23">
        <f>'📱 各班抽查登記表'!F51</f>
        <v>0</v>
      </c>
      <c r="G89" s="24" t="str">
        <f>'📱 各班抽查登記表'!G51</f>
        <v/>
      </c>
      <c r="H89" s="6" t="str">
        <f>'📱 各班抽查登記表'!H51</f>
        <v/>
      </c>
      <c r="I89" s="20">
        <f>'📱 各班抽查登記表'!I51</f>
        <v>0</v>
      </c>
      <c r="J89" s="20">
        <f>'📱 各班抽查登記表'!J51</f>
        <v>0</v>
      </c>
    </row>
    <row r="90" spans="1:10" ht="17">
      <c r="A90" s="6">
        <f>'📱 各班抽查登記表'!A52</f>
        <v>45</v>
      </c>
      <c r="B90" s="6" t="str">
        <f>'📱 各班抽查登記表'!B52</f>
        <v>P2B</v>
      </c>
      <c r="C90" s="6">
        <f>'📱 各班抽查登記表'!C52</f>
        <v>0</v>
      </c>
      <c r="D90" s="6" t="str">
        <f>'📱 各班抽查登記表'!D52</f>
        <v/>
      </c>
      <c r="E90" s="23" t="str">
        <f>'📱 各班抽查登記表'!E52</f>
        <v/>
      </c>
      <c r="F90" s="23">
        <f>'📱 各班抽查登記表'!F52</f>
        <v>0</v>
      </c>
      <c r="G90" s="24" t="str">
        <f>'📱 各班抽查登記表'!G52</f>
        <v/>
      </c>
      <c r="H90" s="6" t="str">
        <f>'📱 各班抽查登記表'!H52</f>
        <v/>
      </c>
      <c r="I90" s="20">
        <f>'📱 各班抽查登記表'!I52</f>
        <v>0</v>
      </c>
      <c r="J90" s="20">
        <f>'📱 各班抽查登記表'!J52</f>
        <v>0</v>
      </c>
    </row>
    <row r="91" spans="1:10" ht="17">
      <c r="A91" s="6">
        <f>'📱 各班抽查登記表'!A53</f>
        <v>46</v>
      </c>
      <c r="B91" s="6" t="str">
        <f>'📱 各班抽查登記表'!B53</f>
        <v>P2B</v>
      </c>
      <c r="C91" s="6">
        <f>'📱 各班抽查登記表'!C53</f>
        <v>0</v>
      </c>
      <c r="D91" s="6" t="str">
        <f>'📱 各班抽查登記表'!D53</f>
        <v/>
      </c>
      <c r="E91" s="23" t="str">
        <f>'📱 各班抽查登記表'!E53</f>
        <v/>
      </c>
      <c r="F91" s="23">
        <f>'📱 各班抽查登記表'!F53</f>
        <v>0</v>
      </c>
      <c r="G91" s="24" t="str">
        <f>'📱 各班抽查登記表'!G53</f>
        <v/>
      </c>
      <c r="H91" s="6" t="str">
        <f>'📱 各班抽查登記表'!H53</f>
        <v/>
      </c>
      <c r="I91" s="20">
        <f>'📱 各班抽查登記表'!I53</f>
        <v>0</v>
      </c>
      <c r="J91" s="20">
        <f>'📱 各班抽查登記表'!J53</f>
        <v>0</v>
      </c>
    </row>
    <row r="92" spans="1:10" ht="17">
      <c r="A92" s="6">
        <f>'📱 各班抽查登記表'!A54</f>
        <v>47</v>
      </c>
      <c r="B92" s="6" t="str">
        <f>'📱 各班抽查登記表'!B54</f>
        <v>P2B</v>
      </c>
      <c r="C92" s="6">
        <f>'📱 各班抽查登記表'!C54</f>
        <v>0</v>
      </c>
      <c r="D92" s="6" t="str">
        <f>'📱 各班抽查登記表'!D54</f>
        <v/>
      </c>
      <c r="E92" s="23" t="str">
        <f>'📱 各班抽查登記表'!E54</f>
        <v/>
      </c>
      <c r="F92" s="23">
        <f>'📱 各班抽查登記表'!F54</f>
        <v>0</v>
      </c>
      <c r="G92" s="24" t="str">
        <f>'📱 各班抽查登記表'!G54</f>
        <v/>
      </c>
      <c r="H92" s="6" t="str">
        <f>'📱 各班抽查登記表'!H54</f>
        <v/>
      </c>
      <c r="I92" s="20">
        <f>'📱 各班抽查登記表'!I54</f>
        <v>0</v>
      </c>
      <c r="J92" s="20">
        <f>'📱 各班抽查登記表'!J54</f>
        <v>0</v>
      </c>
    </row>
    <row r="93" spans="1:10" ht="17">
      <c r="A93" s="6">
        <f>'📱 各班抽查登記表'!A55</f>
        <v>48</v>
      </c>
      <c r="B93" s="6" t="str">
        <f>'📱 各班抽查登記表'!B55</f>
        <v>P2B</v>
      </c>
      <c r="C93" s="6">
        <f>'📱 各班抽查登記表'!C55</f>
        <v>0</v>
      </c>
      <c r="D93" s="6" t="str">
        <f>'📱 各班抽查登記表'!D55</f>
        <v/>
      </c>
      <c r="E93" s="23" t="str">
        <f>'📱 各班抽查登記表'!E55</f>
        <v/>
      </c>
      <c r="F93" s="23">
        <f>'📱 各班抽查登記表'!F55</f>
        <v>0</v>
      </c>
      <c r="G93" s="24" t="str">
        <f>'📱 各班抽查登記表'!G55</f>
        <v/>
      </c>
      <c r="H93" s="6" t="str">
        <f>'📱 各班抽查登記表'!H55</f>
        <v/>
      </c>
      <c r="I93" s="20">
        <f>'📱 各班抽查登記表'!I55</f>
        <v>0</v>
      </c>
      <c r="J93" s="20">
        <f>'📱 各班抽查登記表'!J55</f>
        <v>0</v>
      </c>
    </row>
    <row r="94" spans="1:10" ht="17">
      <c r="A94" s="6">
        <f>'📱 各班抽查登記表'!A56</f>
        <v>49</v>
      </c>
      <c r="B94" s="6" t="str">
        <f>'📱 各班抽查登記表'!B56</f>
        <v>P2B</v>
      </c>
      <c r="C94" s="6">
        <f>'📱 各班抽查登記表'!C56</f>
        <v>0</v>
      </c>
      <c r="D94" s="6" t="str">
        <f>'📱 各班抽查登記表'!D56</f>
        <v/>
      </c>
      <c r="E94" s="23" t="str">
        <f>'📱 各班抽查登記表'!E56</f>
        <v/>
      </c>
      <c r="F94" s="23">
        <f>'📱 各班抽查登記表'!F56</f>
        <v>0</v>
      </c>
      <c r="G94" s="24" t="str">
        <f>'📱 各班抽查登記表'!G56</f>
        <v/>
      </c>
      <c r="H94" s="6" t="str">
        <f>'📱 各班抽查登記表'!H56</f>
        <v/>
      </c>
      <c r="I94" s="20">
        <f>'📱 各班抽查登記表'!I56</f>
        <v>0</v>
      </c>
      <c r="J94" s="20">
        <f>'📱 各班抽查登記表'!J56</f>
        <v>0</v>
      </c>
    </row>
    <row r="95" spans="1:10" ht="17">
      <c r="A95" s="6">
        <f>'📱 各班抽查登記表'!A57</f>
        <v>50</v>
      </c>
      <c r="B95" s="6" t="str">
        <f>'📱 各班抽查登記表'!B57</f>
        <v>P2B</v>
      </c>
      <c r="C95" s="6">
        <f>'📱 各班抽查登記表'!C57</f>
        <v>0</v>
      </c>
      <c r="D95" s="6" t="str">
        <f>'📱 各班抽查登記表'!D57</f>
        <v/>
      </c>
      <c r="E95" s="23" t="str">
        <f>'📱 各班抽查登記表'!E57</f>
        <v/>
      </c>
      <c r="F95" s="23">
        <f>'📱 各班抽查登記表'!F57</f>
        <v>0</v>
      </c>
      <c r="G95" s="24" t="str">
        <f>'📱 各班抽查登記表'!G57</f>
        <v/>
      </c>
      <c r="H95" s="6" t="str">
        <f>'📱 各班抽查登記表'!H57</f>
        <v/>
      </c>
      <c r="I95" s="20">
        <f>'📱 各班抽查登記表'!I57</f>
        <v>0</v>
      </c>
      <c r="J95" s="20">
        <f>'📱 各班抽查登記表'!J57</f>
        <v>0</v>
      </c>
    </row>
    <row r="96" spans="1:10" ht="17">
      <c r="A96" s="6">
        <f>'📱 各班抽查登記表'!A58</f>
        <v>51</v>
      </c>
      <c r="B96" s="6" t="str">
        <f>'📱 各班抽查登記表'!B58</f>
        <v>P2B</v>
      </c>
      <c r="C96" s="6">
        <f>'📱 各班抽查登記表'!C58</f>
        <v>0</v>
      </c>
      <c r="D96" s="6" t="str">
        <f>'📱 各班抽查登記表'!D58</f>
        <v/>
      </c>
      <c r="E96" s="23" t="str">
        <f>'📱 各班抽查登記表'!E58</f>
        <v/>
      </c>
      <c r="F96" s="23">
        <f>'📱 各班抽查登記表'!F58</f>
        <v>0</v>
      </c>
      <c r="G96" s="24" t="str">
        <f>'📱 各班抽查登記表'!G58</f>
        <v/>
      </c>
      <c r="H96" s="6" t="str">
        <f>'📱 各班抽查登記表'!H58</f>
        <v/>
      </c>
      <c r="I96" s="20">
        <f>'📱 各班抽查登記表'!I58</f>
        <v>0</v>
      </c>
      <c r="J96" s="20">
        <f>'📱 各班抽查登記表'!J58</f>
        <v>0</v>
      </c>
    </row>
    <row r="97" spans="1:10" ht="17">
      <c r="A97" s="6">
        <f>'📱 各班抽查登記表'!A59</f>
        <v>52</v>
      </c>
      <c r="B97" s="6" t="str">
        <f>'📱 各班抽查登記表'!B59</f>
        <v>P2B</v>
      </c>
      <c r="C97" s="6">
        <f>'📱 各班抽查登記表'!C59</f>
        <v>0</v>
      </c>
      <c r="D97" s="6" t="str">
        <f>'📱 各班抽查登記表'!D59</f>
        <v/>
      </c>
      <c r="E97" s="23" t="str">
        <f>'📱 各班抽查登記表'!E59</f>
        <v/>
      </c>
      <c r="F97" s="23">
        <f>'📱 各班抽查登記表'!F59</f>
        <v>0</v>
      </c>
      <c r="G97" s="24" t="str">
        <f>'📱 各班抽查登記表'!G59</f>
        <v/>
      </c>
      <c r="H97" s="6" t="str">
        <f>'📱 各班抽查登記表'!H59</f>
        <v/>
      </c>
      <c r="I97" s="20">
        <f>'📱 各班抽查登記表'!I59</f>
        <v>0</v>
      </c>
      <c r="J97" s="20">
        <f>'📱 各班抽查登記表'!J59</f>
        <v>0</v>
      </c>
    </row>
    <row r="98" spans="1:10" ht="17">
      <c r="A98" s="6">
        <f>'📱 各班抽查登記表'!A60</f>
        <v>53</v>
      </c>
      <c r="B98" s="6" t="str">
        <f>'📱 各班抽查登記表'!B60</f>
        <v>P2B</v>
      </c>
      <c r="C98" s="6">
        <f>'📱 各班抽查登記表'!C60</f>
        <v>0</v>
      </c>
      <c r="D98" s="6" t="str">
        <f>'📱 各班抽查登記表'!D60</f>
        <v/>
      </c>
      <c r="E98" s="23" t="str">
        <f>'📱 各班抽查登記表'!E60</f>
        <v/>
      </c>
      <c r="F98" s="23">
        <f>'📱 各班抽查登記表'!F60</f>
        <v>0</v>
      </c>
      <c r="G98" s="24" t="str">
        <f>'📱 各班抽查登記表'!G60</f>
        <v/>
      </c>
      <c r="H98" s="6" t="str">
        <f>'📱 各班抽查登記表'!H60</f>
        <v/>
      </c>
      <c r="I98" s="20">
        <f>'📱 各班抽查登記表'!I60</f>
        <v>0</v>
      </c>
      <c r="J98" s="20">
        <f>'📱 各班抽查登記表'!J60</f>
        <v>0</v>
      </c>
    </row>
    <row r="99" spans="1:10" ht="17">
      <c r="A99" s="6">
        <f>'📱 各班抽查登記表'!A61</f>
        <v>54</v>
      </c>
      <c r="B99" s="6" t="str">
        <f>'📱 各班抽查登記表'!B61</f>
        <v>P2B</v>
      </c>
      <c r="C99" s="6">
        <f>'📱 各班抽查登記表'!C61</f>
        <v>0</v>
      </c>
      <c r="D99" s="6" t="str">
        <f>'📱 各班抽查登記表'!D61</f>
        <v/>
      </c>
      <c r="E99" s="23" t="str">
        <f>'📱 各班抽查登記表'!E61</f>
        <v/>
      </c>
      <c r="F99" s="23">
        <f>'📱 各班抽查登記表'!F61</f>
        <v>0</v>
      </c>
      <c r="G99" s="24" t="str">
        <f>'📱 各班抽查登記表'!G61</f>
        <v/>
      </c>
      <c r="H99" s="6" t="str">
        <f>'📱 各班抽查登記表'!H61</f>
        <v/>
      </c>
      <c r="I99" s="20">
        <f>'📱 各班抽查登記表'!I61</f>
        <v>0</v>
      </c>
      <c r="J99" s="20">
        <f>'📱 各班抽查登記表'!J61</f>
        <v>0</v>
      </c>
    </row>
    <row r="100" spans="1:10" ht="17">
      <c r="A100" s="6">
        <f>'📱 各班抽查登記表'!A62</f>
        <v>55</v>
      </c>
      <c r="B100" s="6" t="str">
        <f>'📱 各班抽查登記表'!B62</f>
        <v>P2B</v>
      </c>
      <c r="C100" s="6">
        <f>'📱 各班抽查登記表'!C62</f>
        <v>0</v>
      </c>
      <c r="D100" s="6" t="str">
        <f>'📱 各班抽查登記表'!D62</f>
        <v/>
      </c>
      <c r="E100" s="23" t="str">
        <f>'📱 各班抽查登記表'!E62</f>
        <v/>
      </c>
      <c r="F100" s="23">
        <f>'📱 各班抽查登記表'!F62</f>
        <v>0</v>
      </c>
      <c r="G100" s="24" t="str">
        <f>'📱 各班抽查登記表'!G62</f>
        <v/>
      </c>
      <c r="H100" s="6" t="str">
        <f>'📱 各班抽查登記表'!H62</f>
        <v/>
      </c>
      <c r="I100" s="20">
        <f>'📱 各班抽查登記表'!I62</f>
        <v>0</v>
      </c>
      <c r="J100" s="20">
        <f>'📱 各班抽查登記表'!J62</f>
        <v>0</v>
      </c>
    </row>
    <row r="101" spans="1:10" ht="17">
      <c r="A101" s="6">
        <f>'📱 各班抽查登記表'!A63</f>
        <v>56</v>
      </c>
      <c r="B101" s="6" t="str">
        <f>'📱 各班抽查登記表'!B63</f>
        <v>P2C</v>
      </c>
      <c r="C101" s="6">
        <f>'📱 各班抽查登記表'!C63</f>
        <v>0</v>
      </c>
      <c r="D101" s="6" t="str">
        <f>'📱 各班抽查登記表'!D63</f>
        <v/>
      </c>
      <c r="E101" s="23" t="str">
        <f>'📱 各班抽查登記表'!E63</f>
        <v/>
      </c>
      <c r="F101" s="23">
        <f>'📱 各班抽查登記表'!F63</f>
        <v>0</v>
      </c>
      <c r="G101" s="24" t="str">
        <f>'📱 各班抽查登記表'!G63</f>
        <v/>
      </c>
      <c r="H101" s="6" t="str">
        <f>'📱 各班抽查登記表'!H63</f>
        <v/>
      </c>
      <c r="I101" s="20">
        <f>'📱 各班抽查登記表'!I63</f>
        <v>0</v>
      </c>
      <c r="J101" s="20">
        <f>'📱 各班抽查登記表'!J63</f>
        <v>0</v>
      </c>
    </row>
    <row r="102" spans="1:10" ht="17">
      <c r="A102" s="6">
        <f>'📱 各班抽查登記表'!A64</f>
        <v>57</v>
      </c>
      <c r="B102" s="6" t="str">
        <f>'📱 各班抽查登記表'!B64</f>
        <v>P2C</v>
      </c>
      <c r="C102" s="6">
        <f>'📱 各班抽查登記表'!C64</f>
        <v>0</v>
      </c>
      <c r="D102" s="6" t="str">
        <f>'📱 各班抽查登記表'!D64</f>
        <v/>
      </c>
      <c r="E102" s="23" t="str">
        <f>'📱 各班抽查登記表'!E64</f>
        <v/>
      </c>
      <c r="F102" s="23">
        <f>'📱 各班抽查登記表'!F64</f>
        <v>0</v>
      </c>
      <c r="G102" s="24" t="str">
        <f>'📱 各班抽查登記表'!G64</f>
        <v/>
      </c>
      <c r="H102" s="6" t="str">
        <f>'📱 各班抽查登記表'!H64</f>
        <v/>
      </c>
      <c r="I102" s="20">
        <f>'📱 各班抽查登記表'!I64</f>
        <v>0</v>
      </c>
      <c r="J102" s="20">
        <f>'📱 各班抽查登記表'!J64</f>
        <v>0</v>
      </c>
    </row>
    <row r="103" spans="1:10" ht="17">
      <c r="A103" s="6">
        <f>'📱 各班抽查登記表'!A65</f>
        <v>58</v>
      </c>
      <c r="B103" s="6" t="str">
        <f>'📱 各班抽查登記表'!B65</f>
        <v>P2C</v>
      </c>
      <c r="C103" s="6">
        <f>'📱 各班抽查登記表'!C65</f>
        <v>0</v>
      </c>
      <c r="D103" s="6" t="str">
        <f>'📱 各班抽查登記表'!D65</f>
        <v/>
      </c>
      <c r="E103" s="23" t="str">
        <f>'📱 各班抽查登記表'!E65</f>
        <v/>
      </c>
      <c r="F103" s="23">
        <f>'📱 各班抽查登記表'!F65</f>
        <v>0</v>
      </c>
      <c r="G103" s="24" t="str">
        <f>'📱 各班抽查登記表'!G65</f>
        <v/>
      </c>
      <c r="H103" s="6" t="str">
        <f>'📱 各班抽查登記表'!H65</f>
        <v/>
      </c>
      <c r="I103" s="20">
        <f>'📱 各班抽查登記表'!I65</f>
        <v>0</v>
      </c>
      <c r="J103" s="20">
        <f>'📱 各班抽查登記表'!J65</f>
        <v>0</v>
      </c>
    </row>
    <row r="104" spans="1:10" ht="17">
      <c r="A104" s="6">
        <f>'📱 各班抽查登記表'!A66</f>
        <v>59</v>
      </c>
      <c r="B104" s="6" t="str">
        <f>'📱 各班抽查登記表'!B66</f>
        <v>P2C</v>
      </c>
      <c r="C104" s="6">
        <f>'📱 各班抽查登記表'!C66</f>
        <v>0</v>
      </c>
      <c r="D104" s="6" t="str">
        <f>'📱 各班抽查登記表'!D66</f>
        <v/>
      </c>
      <c r="E104" s="23" t="str">
        <f>'📱 各班抽查登記表'!E66</f>
        <v/>
      </c>
      <c r="F104" s="23">
        <f>'📱 各班抽查登記表'!F66</f>
        <v>0</v>
      </c>
      <c r="G104" s="24" t="str">
        <f>'📱 各班抽查登記表'!G66</f>
        <v/>
      </c>
      <c r="H104" s="6" t="str">
        <f>'📱 各班抽查登記表'!H66</f>
        <v/>
      </c>
      <c r="I104" s="20">
        <f>'📱 各班抽查登記表'!I66</f>
        <v>0</v>
      </c>
      <c r="J104" s="20">
        <f>'📱 各班抽查登記表'!J66</f>
        <v>0</v>
      </c>
    </row>
    <row r="105" spans="1:10" ht="17">
      <c r="A105" s="6">
        <f>'📱 各班抽查登記表'!A67</f>
        <v>60</v>
      </c>
      <c r="B105" s="6" t="str">
        <f>'📱 各班抽查登記表'!B67</f>
        <v>P2C</v>
      </c>
      <c r="C105" s="6">
        <f>'📱 各班抽查登記表'!C67</f>
        <v>0</v>
      </c>
      <c r="D105" s="6" t="str">
        <f>'📱 各班抽查登記表'!D67</f>
        <v/>
      </c>
      <c r="E105" s="23" t="str">
        <f>'📱 各班抽查登記表'!E67</f>
        <v/>
      </c>
      <c r="F105" s="23">
        <f>'📱 各班抽查登記表'!F67</f>
        <v>0</v>
      </c>
      <c r="G105" s="24" t="str">
        <f>'📱 各班抽查登記表'!G67</f>
        <v/>
      </c>
      <c r="H105" s="6" t="str">
        <f>'📱 各班抽查登記表'!H67</f>
        <v/>
      </c>
      <c r="I105" s="20">
        <f>'📱 各班抽查登記表'!I67</f>
        <v>0</v>
      </c>
      <c r="J105" s="20">
        <f>'📱 各班抽查登記表'!J67</f>
        <v>0</v>
      </c>
    </row>
    <row r="106" spans="1:10" ht="17">
      <c r="A106" s="6">
        <f>'📱 各班抽查登記表'!A68</f>
        <v>61</v>
      </c>
      <c r="B106" s="6" t="str">
        <f>'📱 各班抽查登記表'!B68</f>
        <v>P2C</v>
      </c>
      <c r="C106" s="6">
        <f>'📱 各班抽查登記表'!C68</f>
        <v>0</v>
      </c>
      <c r="D106" s="6" t="str">
        <f>'📱 各班抽查登記表'!D68</f>
        <v/>
      </c>
      <c r="E106" s="23" t="str">
        <f>'📱 各班抽查登記表'!E68</f>
        <v/>
      </c>
      <c r="F106" s="23">
        <f>'📱 各班抽查登記表'!F68</f>
        <v>0</v>
      </c>
      <c r="G106" s="24" t="str">
        <f>'📱 各班抽查登記表'!G68</f>
        <v/>
      </c>
      <c r="H106" s="6" t="str">
        <f>'📱 各班抽查登記表'!H68</f>
        <v/>
      </c>
      <c r="I106" s="20">
        <f>'📱 各班抽查登記表'!I68</f>
        <v>0</v>
      </c>
      <c r="J106" s="20">
        <f>'📱 各班抽查登記表'!J68</f>
        <v>0</v>
      </c>
    </row>
    <row r="107" spans="1:10" ht="17">
      <c r="A107" s="6">
        <f>'📱 各班抽查登記表'!A69</f>
        <v>62</v>
      </c>
      <c r="B107" s="6" t="str">
        <f>'📱 各班抽查登記表'!B69</f>
        <v>P2C</v>
      </c>
      <c r="C107" s="6">
        <f>'📱 各班抽查登記表'!C69</f>
        <v>0</v>
      </c>
      <c r="D107" s="6" t="str">
        <f>'📱 各班抽查登記表'!D69</f>
        <v/>
      </c>
      <c r="E107" s="23" t="str">
        <f>'📱 各班抽查登記表'!E69</f>
        <v/>
      </c>
      <c r="F107" s="23">
        <f>'📱 各班抽查登記表'!F69</f>
        <v>0</v>
      </c>
      <c r="G107" s="24" t="str">
        <f>'📱 各班抽查登記表'!G69</f>
        <v/>
      </c>
      <c r="H107" s="6" t="str">
        <f>'📱 各班抽查登記表'!H69</f>
        <v/>
      </c>
      <c r="I107" s="20">
        <f>'📱 各班抽查登記表'!I69</f>
        <v>0</v>
      </c>
      <c r="J107" s="20">
        <f>'📱 各班抽查登記表'!J69</f>
        <v>0</v>
      </c>
    </row>
    <row r="108" spans="1:10" ht="17">
      <c r="A108" s="6">
        <f>'📱 各班抽查登記表'!A70</f>
        <v>63</v>
      </c>
      <c r="B108" s="6" t="str">
        <f>'📱 各班抽查登記表'!B70</f>
        <v>P2C</v>
      </c>
      <c r="C108" s="6">
        <f>'📱 各班抽查登記表'!C70</f>
        <v>0</v>
      </c>
      <c r="D108" s="6" t="str">
        <f>'📱 各班抽查登記表'!D70</f>
        <v/>
      </c>
      <c r="E108" s="23" t="str">
        <f>'📱 各班抽查登記表'!E70</f>
        <v/>
      </c>
      <c r="F108" s="23">
        <f>'📱 各班抽查登記表'!F70</f>
        <v>0</v>
      </c>
      <c r="G108" s="24" t="str">
        <f>'📱 各班抽查登記表'!G70</f>
        <v/>
      </c>
      <c r="H108" s="6" t="str">
        <f>'📱 各班抽查登記表'!H70</f>
        <v/>
      </c>
      <c r="I108" s="20">
        <f>'📱 各班抽查登記表'!I70</f>
        <v>0</v>
      </c>
      <c r="J108" s="20">
        <f>'📱 各班抽查登記表'!J70</f>
        <v>0</v>
      </c>
    </row>
    <row r="109" spans="1:10" ht="17">
      <c r="A109" s="6">
        <f>'📱 各班抽查登記表'!A71</f>
        <v>64</v>
      </c>
      <c r="B109" s="6" t="str">
        <f>'📱 各班抽查登記表'!B71</f>
        <v>P2C</v>
      </c>
      <c r="C109" s="6">
        <f>'📱 各班抽查登記表'!C71</f>
        <v>0</v>
      </c>
      <c r="D109" s="6" t="str">
        <f>'📱 各班抽查登記表'!D71</f>
        <v/>
      </c>
      <c r="E109" s="23" t="str">
        <f>'📱 各班抽查登記表'!E71</f>
        <v/>
      </c>
      <c r="F109" s="23">
        <f>'📱 各班抽查登記表'!F71</f>
        <v>0</v>
      </c>
      <c r="G109" s="24" t="str">
        <f>'📱 各班抽查登記表'!G71</f>
        <v/>
      </c>
      <c r="H109" s="6" t="str">
        <f>'📱 各班抽查登記表'!H71</f>
        <v/>
      </c>
      <c r="I109" s="20">
        <f>'📱 各班抽查登記表'!I71</f>
        <v>0</v>
      </c>
      <c r="J109" s="20">
        <f>'📱 各班抽查登記表'!J71</f>
        <v>0</v>
      </c>
    </row>
    <row r="110" spans="1:10" ht="17">
      <c r="A110" s="6">
        <f>'📱 各班抽查登記表'!A72</f>
        <v>65</v>
      </c>
      <c r="B110" s="6" t="str">
        <f>'📱 各班抽查登記表'!B72</f>
        <v>P2C</v>
      </c>
      <c r="C110" s="6">
        <f>'📱 各班抽查登記表'!C72</f>
        <v>0</v>
      </c>
      <c r="D110" s="6" t="str">
        <f>'📱 各班抽查登記表'!D72</f>
        <v/>
      </c>
      <c r="E110" s="23" t="str">
        <f>'📱 各班抽查登記表'!E72</f>
        <v/>
      </c>
      <c r="F110" s="23">
        <f>'📱 各班抽查登記表'!F72</f>
        <v>0</v>
      </c>
      <c r="G110" s="24" t="str">
        <f>'📱 各班抽查登記表'!G72</f>
        <v/>
      </c>
      <c r="H110" s="6" t="str">
        <f>'📱 各班抽查登記表'!H72</f>
        <v/>
      </c>
      <c r="I110" s="20">
        <f>'📱 各班抽查登記表'!I72</f>
        <v>0</v>
      </c>
      <c r="J110" s="20">
        <f>'📱 各班抽查登記表'!J72</f>
        <v>0</v>
      </c>
    </row>
    <row r="111" spans="1:10" ht="17">
      <c r="A111" s="6">
        <f>'📱 各班抽查登記表'!A73</f>
        <v>66</v>
      </c>
      <c r="B111" s="6" t="str">
        <f>'📱 各班抽查登記表'!B73</f>
        <v>P2C</v>
      </c>
      <c r="C111" s="6">
        <f>'📱 各班抽查登記表'!C73</f>
        <v>0</v>
      </c>
      <c r="D111" s="6" t="str">
        <f>'📱 各班抽查登記表'!D73</f>
        <v/>
      </c>
      <c r="E111" s="23" t="str">
        <f>'📱 各班抽查登記表'!E73</f>
        <v/>
      </c>
      <c r="F111" s="23">
        <f>'📱 各班抽查登記表'!F73</f>
        <v>0</v>
      </c>
      <c r="G111" s="24" t="str">
        <f>'📱 各班抽查登記表'!G73</f>
        <v/>
      </c>
      <c r="H111" s="6" t="str">
        <f>'📱 各班抽查登記表'!H73</f>
        <v/>
      </c>
      <c r="I111" s="20">
        <f>'📱 各班抽查登記表'!I73</f>
        <v>0</v>
      </c>
      <c r="J111" s="20">
        <f>'📱 各班抽查登記表'!J73</f>
        <v>0</v>
      </c>
    </row>
    <row r="112" spans="1:10" ht="17">
      <c r="A112" s="6">
        <f>'📱 各班抽查登記表'!A74</f>
        <v>67</v>
      </c>
      <c r="B112" s="6" t="str">
        <f>'📱 各班抽查登記表'!B74</f>
        <v>P3A</v>
      </c>
      <c r="C112" s="6">
        <f>'📱 各班抽查登記表'!C74</f>
        <v>0</v>
      </c>
      <c r="D112" s="6" t="str">
        <f>'📱 各班抽查登記表'!D74</f>
        <v/>
      </c>
      <c r="E112" s="23" t="str">
        <f>'📱 各班抽查登記表'!E74</f>
        <v/>
      </c>
      <c r="F112" s="23">
        <f>'📱 各班抽查登記表'!F74</f>
        <v>0</v>
      </c>
      <c r="G112" s="24" t="str">
        <f>'📱 各班抽查登記表'!G74</f>
        <v/>
      </c>
      <c r="H112" s="6" t="str">
        <f>'📱 各班抽查登記表'!H74</f>
        <v/>
      </c>
      <c r="I112" s="20">
        <f>'📱 各班抽查登記表'!I74</f>
        <v>0</v>
      </c>
      <c r="J112" s="20">
        <f>'📱 各班抽查登記表'!J74</f>
        <v>0</v>
      </c>
    </row>
    <row r="113" spans="1:10" ht="17">
      <c r="A113" s="6">
        <f>'📱 各班抽查登記表'!A75</f>
        <v>68</v>
      </c>
      <c r="B113" s="6" t="str">
        <f>'📱 各班抽查登記表'!B75</f>
        <v>P3A</v>
      </c>
      <c r="C113" s="6">
        <f>'📱 各班抽查登記表'!C75</f>
        <v>0</v>
      </c>
      <c r="D113" s="6" t="str">
        <f>'📱 各班抽查登記表'!D75</f>
        <v/>
      </c>
      <c r="E113" s="23" t="str">
        <f>'📱 各班抽查登記表'!E75</f>
        <v/>
      </c>
      <c r="F113" s="23">
        <f>'📱 各班抽查登記表'!F75</f>
        <v>0</v>
      </c>
      <c r="G113" s="24" t="str">
        <f>'📱 各班抽查登記表'!G75</f>
        <v/>
      </c>
      <c r="H113" s="6" t="str">
        <f>'📱 各班抽查登記表'!H75</f>
        <v/>
      </c>
      <c r="I113" s="20">
        <f>'📱 各班抽查登記表'!I75</f>
        <v>0</v>
      </c>
      <c r="J113" s="20">
        <f>'📱 各班抽查登記表'!J75</f>
        <v>0</v>
      </c>
    </row>
    <row r="114" spans="1:10" ht="17">
      <c r="A114" s="6">
        <f>'📱 各班抽查登記表'!A76</f>
        <v>69</v>
      </c>
      <c r="B114" s="6" t="str">
        <f>'📱 各班抽查登記表'!B76</f>
        <v>P3A</v>
      </c>
      <c r="C114" s="6">
        <f>'📱 各班抽查登記表'!C76</f>
        <v>0</v>
      </c>
      <c r="D114" s="6" t="str">
        <f>'📱 各班抽查登記表'!D76</f>
        <v/>
      </c>
      <c r="E114" s="23" t="str">
        <f>'📱 各班抽查登記表'!E76</f>
        <v/>
      </c>
      <c r="F114" s="23">
        <f>'📱 各班抽查登記表'!F76</f>
        <v>0</v>
      </c>
      <c r="G114" s="24" t="str">
        <f>'📱 各班抽查登記表'!G76</f>
        <v/>
      </c>
      <c r="H114" s="6" t="str">
        <f>'📱 各班抽查登記表'!H76</f>
        <v/>
      </c>
      <c r="I114" s="20">
        <f>'📱 各班抽查登記表'!I76</f>
        <v>0</v>
      </c>
      <c r="J114" s="20">
        <f>'📱 各班抽查登記表'!J76</f>
        <v>0</v>
      </c>
    </row>
    <row r="115" spans="1:10" ht="17">
      <c r="A115" s="6">
        <f>'📱 各班抽查登記表'!A77</f>
        <v>70</v>
      </c>
      <c r="B115" s="6" t="str">
        <f>'📱 各班抽查登記表'!B77</f>
        <v>P3A</v>
      </c>
      <c r="C115" s="6">
        <f>'📱 各班抽查登記表'!C77</f>
        <v>0</v>
      </c>
      <c r="D115" s="6" t="str">
        <f>'📱 各班抽查登記表'!D77</f>
        <v/>
      </c>
      <c r="E115" s="23" t="str">
        <f>'📱 各班抽查登記表'!E77</f>
        <v/>
      </c>
      <c r="F115" s="23">
        <f>'📱 各班抽查登記表'!F77</f>
        <v>0</v>
      </c>
      <c r="G115" s="24" t="str">
        <f>'📱 各班抽查登記表'!G77</f>
        <v/>
      </c>
      <c r="H115" s="6" t="str">
        <f>'📱 各班抽查登記表'!H77</f>
        <v/>
      </c>
      <c r="I115" s="20">
        <f>'📱 各班抽查登記表'!I77</f>
        <v>0</v>
      </c>
      <c r="J115" s="20">
        <f>'📱 各班抽查登記表'!J77</f>
        <v>0</v>
      </c>
    </row>
    <row r="116" spans="1:10" ht="17">
      <c r="A116" s="6">
        <f>'📱 各班抽查登記表'!A78</f>
        <v>71</v>
      </c>
      <c r="B116" s="6" t="str">
        <f>'📱 各班抽查登記表'!B78</f>
        <v>P3A</v>
      </c>
      <c r="C116" s="6">
        <f>'📱 各班抽查登記表'!C78</f>
        <v>0</v>
      </c>
      <c r="D116" s="6" t="str">
        <f>'📱 各班抽查登記表'!D78</f>
        <v/>
      </c>
      <c r="E116" s="23" t="str">
        <f>'📱 各班抽查登記表'!E78</f>
        <v/>
      </c>
      <c r="F116" s="23">
        <f>'📱 各班抽查登記表'!F78</f>
        <v>0</v>
      </c>
      <c r="G116" s="24" t="str">
        <f>'📱 各班抽查登記表'!G78</f>
        <v/>
      </c>
      <c r="H116" s="6" t="str">
        <f>'📱 各班抽查登記表'!H78</f>
        <v/>
      </c>
      <c r="I116" s="20">
        <f>'📱 各班抽查登記表'!I78</f>
        <v>0</v>
      </c>
      <c r="J116" s="20">
        <f>'📱 各班抽查登記表'!J78</f>
        <v>0</v>
      </c>
    </row>
    <row r="117" spans="1:10" ht="17">
      <c r="A117" s="6">
        <f>'📱 各班抽查登記表'!A79</f>
        <v>72</v>
      </c>
      <c r="B117" s="6" t="str">
        <f>'📱 各班抽查登記表'!B79</f>
        <v>P3A</v>
      </c>
      <c r="C117" s="6">
        <f>'📱 各班抽查登記表'!C79</f>
        <v>0</v>
      </c>
      <c r="D117" s="6" t="str">
        <f>'📱 各班抽查登記表'!D79</f>
        <v/>
      </c>
      <c r="E117" s="23" t="str">
        <f>'📱 各班抽查登記表'!E79</f>
        <v/>
      </c>
      <c r="F117" s="23">
        <f>'📱 各班抽查登記表'!F79</f>
        <v>0</v>
      </c>
      <c r="G117" s="24" t="str">
        <f>'📱 各班抽查登記表'!G79</f>
        <v/>
      </c>
      <c r="H117" s="6" t="str">
        <f>'📱 各班抽查登記表'!H79</f>
        <v/>
      </c>
      <c r="I117" s="20">
        <f>'📱 各班抽查登記表'!I79</f>
        <v>0</v>
      </c>
      <c r="J117" s="20">
        <f>'📱 各班抽查登記表'!J79</f>
        <v>0</v>
      </c>
    </row>
    <row r="118" spans="1:10" ht="17">
      <c r="A118" s="6">
        <f>'📱 各班抽查登記表'!A80</f>
        <v>73</v>
      </c>
      <c r="B118" s="6" t="str">
        <f>'📱 各班抽查登記表'!B80</f>
        <v>P3A</v>
      </c>
      <c r="C118" s="6">
        <f>'📱 各班抽查登記表'!C80</f>
        <v>0</v>
      </c>
      <c r="D118" s="6" t="str">
        <f>'📱 各班抽查登記表'!D80</f>
        <v/>
      </c>
      <c r="E118" s="23" t="str">
        <f>'📱 各班抽查登記表'!E80</f>
        <v/>
      </c>
      <c r="F118" s="23">
        <f>'📱 各班抽查登記表'!F80</f>
        <v>0</v>
      </c>
      <c r="G118" s="24" t="str">
        <f>'📱 各班抽查登記表'!G80</f>
        <v/>
      </c>
      <c r="H118" s="6" t="str">
        <f>'📱 各班抽查登記表'!H80</f>
        <v/>
      </c>
      <c r="I118" s="20">
        <f>'📱 各班抽查登記表'!I80</f>
        <v>0</v>
      </c>
      <c r="J118" s="20">
        <f>'📱 各班抽查登記表'!J80</f>
        <v>0</v>
      </c>
    </row>
    <row r="119" spans="1:10" ht="17">
      <c r="A119" s="6">
        <f>'📱 各班抽查登記表'!A81</f>
        <v>74</v>
      </c>
      <c r="B119" s="6" t="str">
        <f>'📱 各班抽查登記表'!B81</f>
        <v>P3A</v>
      </c>
      <c r="C119" s="6">
        <f>'📱 各班抽查登記表'!C81</f>
        <v>0</v>
      </c>
      <c r="D119" s="6" t="str">
        <f>'📱 各班抽查登記表'!D81</f>
        <v/>
      </c>
      <c r="E119" s="23" t="str">
        <f>'📱 各班抽查登記表'!E81</f>
        <v/>
      </c>
      <c r="F119" s="23">
        <f>'📱 各班抽查登記表'!F81</f>
        <v>0</v>
      </c>
      <c r="G119" s="24" t="str">
        <f>'📱 各班抽查登記表'!G81</f>
        <v/>
      </c>
      <c r="H119" s="6" t="str">
        <f>'📱 各班抽查登記表'!H81</f>
        <v/>
      </c>
      <c r="I119" s="20">
        <f>'📱 各班抽查登記表'!I81</f>
        <v>0</v>
      </c>
      <c r="J119" s="20">
        <f>'📱 各班抽查登記表'!J81</f>
        <v>0</v>
      </c>
    </row>
    <row r="120" spans="1:10" ht="17">
      <c r="A120" s="6">
        <f>'📱 各班抽查登記表'!A82</f>
        <v>75</v>
      </c>
      <c r="B120" s="6" t="str">
        <f>'📱 各班抽查登記表'!B82</f>
        <v>P3A</v>
      </c>
      <c r="C120" s="6">
        <f>'📱 各班抽查登記表'!C82</f>
        <v>0</v>
      </c>
      <c r="D120" s="6" t="str">
        <f>'📱 各班抽查登記表'!D82</f>
        <v/>
      </c>
      <c r="E120" s="23" t="str">
        <f>'📱 各班抽查登記表'!E82</f>
        <v/>
      </c>
      <c r="F120" s="23">
        <f>'📱 各班抽查登記表'!F82</f>
        <v>0</v>
      </c>
      <c r="G120" s="24" t="str">
        <f>'📱 各班抽查登記表'!G82</f>
        <v/>
      </c>
      <c r="H120" s="6" t="str">
        <f>'📱 各班抽查登記表'!H82</f>
        <v/>
      </c>
      <c r="I120" s="20">
        <f>'📱 各班抽查登記表'!I82</f>
        <v>0</v>
      </c>
      <c r="J120" s="20">
        <f>'📱 各班抽查登記表'!J82</f>
        <v>0</v>
      </c>
    </row>
    <row r="121" spans="1:10" ht="17">
      <c r="A121" s="6">
        <f>'📱 各班抽查登記表'!A83</f>
        <v>76</v>
      </c>
      <c r="B121" s="6" t="str">
        <f>'📱 各班抽查登記表'!B83</f>
        <v>P3A</v>
      </c>
      <c r="C121" s="6">
        <f>'📱 各班抽查登記表'!C83</f>
        <v>0</v>
      </c>
      <c r="D121" s="6" t="str">
        <f>'📱 各班抽查登記表'!D83</f>
        <v/>
      </c>
      <c r="E121" s="23" t="str">
        <f>'📱 各班抽查登記表'!E83</f>
        <v/>
      </c>
      <c r="F121" s="23">
        <f>'📱 各班抽查登記表'!F83</f>
        <v>0</v>
      </c>
      <c r="G121" s="24" t="str">
        <f>'📱 各班抽查登記表'!G83</f>
        <v/>
      </c>
      <c r="H121" s="6" t="str">
        <f>'📱 各班抽查登記表'!H83</f>
        <v/>
      </c>
      <c r="I121" s="20">
        <f>'📱 各班抽查登記表'!I83</f>
        <v>0</v>
      </c>
      <c r="J121" s="20">
        <f>'📱 各班抽查登記表'!J83</f>
        <v>0</v>
      </c>
    </row>
    <row r="122" spans="1:10" ht="17">
      <c r="A122" s="6">
        <f>'📱 各班抽查登記表'!A84</f>
        <v>77</v>
      </c>
      <c r="B122" s="6" t="str">
        <f>'📱 各班抽查登記表'!B84</f>
        <v>P3A</v>
      </c>
      <c r="C122" s="6">
        <f>'📱 各班抽查登記表'!C84</f>
        <v>0</v>
      </c>
      <c r="D122" s="6" t="str">
        <f>'📱 各班抽查登記表'!D84</f>
        <v/>
      </c>
      <c r="E122" s="23" t="str">
        <f>'📱 各班抽查登記表'!E84</f>
        <v/>
      </c>
      <c r="F122" s="23">
        <f>'📱 各班抽查登記表'!F84</f>
        <v>0</v>
      </c>
      <c r="G122" s="24" t="str">
        <f>'📱 各班抽查登記表'!G84</f>
        <v/>
      </c>
      <c r="H122" s="6" t="str">
        <f>'📱 各班抽查登記表'!H84</f>
        <v/>
      </c>
      <c r="I122" s="20">
        <f>'📱 各班抽查登記表'!I84</f>
        <v>0</v>
      </c>
      <c r="J122" s="20">
        <f>'📱 各班抽查登記表'!J84</f>
        <v>0</v>
      </c>
    </row>
    <row r="123" spans="1:10" ht="17">
      <c r="A123" s="6">
        <f>'📱 各班抽查登記表'!A85</f>
        <v>78</v>
      </c>
      <c r="B123" s="6" t="str">
        <f>'📱 各班抽查登記表'!B85</f>
        <v>P3B</v>
      </c>
      <c r="C123" s="6">
        <f>'📱 各班抽查登記表'!C85</f>
        <v>0</v>
      </c>
      <c r="D123" s="6" t="str">
        <f>'📱 各班抽查登記表'!D85</f>
        <v/>
      </c>
      <c r="E123" s="23" t="str">
        <f>'📱 各班抽查登記表'!E85</f>
        <v/>
      </c>
      <c r="F123" s="23">
        <f>'📱 各班抽查登記表'!F85</f>
        <v>0</v>
      </c>
      <c r="G123" s="24" t="str">
        <f>'📱 各班抽查登記表'!G85</f>
        <v/>
      </c>
      <c r="H123" s="6" t="str">
        <f>'📱 各班抽查登記表'!H85</f>
        <v/>
      </c>
      <c r="I123" s="20">
        <f>'📱 各班抽查登記表'!I85</f>
        <v>0</v>
      </c>
      <c r="J123" s="20">
        <f>'📱 各班抽查登記表'!J85</f>
        <v>0</v>
      </c>
    </row>
    <row r="124" spans="1:10" ht="17">
      <c r="A124" s="6">
        <f>'📱 各班抽查登記表'!A86</f>
        <v>79</v>
      </c>
      <c r="B124" s="6" t="str">
        <f>'📱 各班抽查登記表'!B86</f>
        <v>P3B</v>
      </c>
      <c r="C124" s="6">
        <f>'📱 各班抽查登記表'!C86</f>
        <v>0</v>
      </c>
      <c r="D124" s="6" t="str">
        <f>'📱 各班抽查登記表'!D86</f>
        <v/>
      </c>
      <c r="E124" s="23" t="str">
        <f>'📱 各班抽查登記表'!E86</f>
        <v/>
      </c>
      <c r="F124" s="23">
        <f>'📱 各班抽查登記表'!F86</f>
        <v>0</v>
      </c>
      <c r="G124" s="24" t="str">
        <f>'📱 各班抽查登記表'!G86</f>
        <v/>
      </c>
      <c r="H124" s="6" t="str">
        <f>'📱 各班抽查登記表'!H86</f>
        <v/>
      </c>
      <c r="I124" s="20">
        <f>'📱 各班抽查登記表'!I86</f>
        <v>0</v>
      </c>
      <c r="J124" s="20">
        <f>'📱 各班抽查登記表'!J86</f>
        <v>0</v>
      </c>
    </row>
    <row r="125" spans="1:10" ht="17">
      <c r="A125" s="6">
        <f>'📱 各班抽查登記表'!A87</f>
        <v>80</v>
      </c>
      <c r="B125" s="6" t="str">
        <f>'📱 各班抽查登記表'!B87</f>
        <v>P3B</v>
      </c>
      <c r="C125" s="6">
        <f>'📱 各班抽查登記表'!C87</f>
        <v>0</v>
      </c>
      <c r="D125" s="6" t="str">
        <f>'📱 各班抽查登記表'!D87</f>
        <v/>
      </c>
      <c r="E125" s="23" t="str">
        <f>'📱 各班抽查登記表'!E87</f>
        <v/>
      </c>
      <c r="F125" s="23">
        <f>'📱 各班抽查登記表'!F87</f>
        <v>0</v>
      </c>
      <c r="G125" s="24" t="str">
        <f>'📱 各班抽查登記表'!G87</f>
        <v/>
      </c>
      <c r="H125" s="6" t="str">
        <f>'📱 各班抽查登記表'!H87</f>
        <v/>
      </c>
      <c r="I125" s="20">
        <f>'📱 各班抽查登記表'!I87</f>
        <v>0</v>
      </c>
      <c r="J125" s="20">
        <f>'📱 各班抽查登記表'!J87</f>
        <v>0</v>
      </c>
    </row>
    <row r="126" spans="1:10" ht="17">
      <c r="A126" s="6">
        <f>'📱 各班抽查登記表'!A88</f>
        <v>81</v>
      </c>
      <c r="B126" s="6" t="str">
        <f>'📱 各班抽查登記表'!B88</f>
        <v>P3B</v>
      </c>
      <c r="C126" s="6">
        <f>'📱 各班抽查登記表'!C88</f>
        <v>0</v>
      </c>
      <c r="D126" s="6" t="str">
        <f>'📱 各班抽查登記表'!D88</f>
        <v/>
      </c>
      <c r="E126" s="23" t="str">
        <f>'📱 各班抽查登記表'!E88</f>
        <v/>
      </c>
      <c r="F126" s="23">
        <f>'📱 各班抽查登記表'!F88</f>
        <v>0</v>
      </c>
      <c r="G126" s="24" t="str">
        <f>'📱 各班抽查登記表'!G88</f>
        <v/>
      </c>
      <c r="H126" s="6" t="str">
        <f>'📱 各班抽查登記表'!H88</f>
        <v/>
      </c>
      <c r="I126" s="20">
        <f>'📱 各班抽查登記表'!I88</f>
        <v>0</v>
      </c>
      <c r="J126" s="20">
        <f>'📱 各班抽查登記表'!J88</f>
        <v>0</v>
      </c>
    </row>
    <row r="127" spans="1:10" ht="17">
      <c r="A127" s="6">
        <f>'📱 各班抽查登記表'!A89</f>
        <v>82</v>
      </c>
      <c r="B127" s="6" t="str">
        <f>'📱 各班抽查登記表'!B89</f>
        <v>P3B</v>
      </c>
      <c r="C127" s="6">
        <f>'📱 各班抽查登記表'!C89</f>
        <v>0</v>
      </c>
      <c r="D127" s="6" t="str">
        <f>'📱 各班抽查登記表'!D89</f>
        <v/>
      </c>
      <c r="E127" s="23" t="str">
        <f>'📱 各班抽查登記表'!E89</f>
        <v/>
      </c>
      <c r="F127" s="23">
        <f>'📱 各班抽查登記表'!F89</f>
        <v>0</v>
      </c>
      <c r="G127" s="24" t="str">
        <f>'📱 各班抽查登記表'!G89</f>
        <v/>
      </c>
      <c r="H127" s="6" t="str">
        <f>'📱 各班抽查登記表'!H89</f>
        <v/>
      </c>
      <c r="I127" s="20">
        <f>'📱 各班抽查登記表'!I89</f>
        <v>0</v>
      </c>
      <c r="J127" s="20">
        <f>'📱 各班抽查登記表'!J89</f>
        <v>0</v>
      </c>
    </row>
    <row r="128" spans="1:10" ht="17">
      <c r="A128" s="6">
        <f>'📱 各班抽查登記表'!A90</f>
        <v>83</v>
      </c>
      <c r="B128" s="6" t="str">
        <f>'📱 各班抽查登記表'!B90</f>
        <v>P3B</v>
      </c>
      <c r="C128" s="6">
        <f>'📱 各班抽查登記表'!C90</f>
        <v>0</v>
      </c>
      <c r="D128" s="6" t="str">
        <f>'📱 各班抽查登記表'!D90</f>
        <v/>
      </c>
      <c r="E128" s="23" t="str">
        <f>'📱 各班抽查登記表'!E90</f>
        <v/>
      </c>
      <c r="F128" s="23">
        <f>'📱 各班抽查登記表'!F90</f>
        <v>0</v>
      </c>
      <c r="G128" s="24" t="str">
        <f>'📱 各班抽查登記表'!G90</f>
        <v/>
      </c>
      <c r="H128" s="6" t="str">
        <f>'📱 各班抽查登記表'!H90</f>
        <v/>
      </c>
      <c r="I128" s="20">
        <f>'📱 各班抽查登記表'!I90</f>
        <v>0</v>
      </c>
      <c r="J128" s="20">
        <f>'📱 各班抽查登記表'!J90</f>
        <v>0</v>
      </c>
    </row>
    <row r="129" spans="1:10" ht="17">
      <c r="A129" s="6">
        <f>'📱 各班抽查登記表'!A91</f>
        <v>84</v>
      </c>
      <c r="B129" s="6" t="str">
        <f>'📱 各班抽查登記表'!B91</f>
        <v>P3B</v>
      </c>
      <c r="C129" s="6">
        <f>'📱 各班抽查登記表'!C91</f>
        <v>0</v>
      </c>
      <c r="D129" s="6" t="str">
        <f>'📱 各班抽查登記表'!D91</f>
        <v/>
      </c>
      <c r="E129" s="23" t="str">
        <f>'📱 各班抽查登記表'!E91</f>
        <v/>
      </c>
      <c r="F129" s="23">
        <f>'📱 各班抽查登記表'!F91</f>
        <v>0</v>
      </c>
      <c r="G129" s="24" t="str">
        <f>'📱 各班抽查登記表'!G91</f>
        <v/>
      </c>
      <c r="H129" s="6" t="str">
        <f>'📱 各班抽查登記表'!H91</f>
        <v/>
      </c>
      <c r="I129" s="20">
        <f>'📱 各班抽查登記表'!I91</f>
        <v>0</v>
      </c>
      <c r="J129" s="20">
        <f>'📱 各班抽查登記表'!J91</f>
        <v>0</v>
      </c>
    </row>
    <row r="130" spans="1:10" ht="17">
      <c r="A130" s="6">
        <f>'📱 各班抽查登記表'!A92</f>
        <v>85</v>
      </c>
      <c r="B130" s="6" t="str">
        <f>'📱 各班抽查登記表'!B92</f>
        <v>P3B</v>
      </c>
      <c r="C130" s="6">
        <f>'📱 各班抽查登記表'!C92</f>
        <v>0</v>
      </c>
      <c r="D130" s="6" t="str">
        <f>'📱 各班抽查登記表'!D92</f>
        <v/>
      </c>
      <c r="E130" s="23" t="str">
        <f>'📱 各班抽查登記表'!E92</f>
        <v/>
      </c>
      <c r="F130" s="23">
        <f>'📱 各班抽查登記表'!F92</f>
        <v>0</v>
      </c>
      <c r="G130" s="24" t="str">
        <f>'📱 各班抽查登記表'!G92</f>
        <v/>
      </c>
      <c r="H130" s="6" t="str">
        <f>'📱 各班抽查登記表'!H92</f>
        <v/>
      </c>
      <c r="I130" s="20">
        <f>'📱 各班抽查登記表'!I92</f>
        <v>0</v>
      </c>
      <c r="J130" s="20">
        <f>'📱 各班抽查登記表'!J92</f>
        <v>0</v>
      </c>
    </row>
    <row r="131" spans="1:10" ht="17">
      <c r="A131" s="6">
        <f>'📱 各班抽查登記表'!A93</f>
        <v>86</v>
      </c>
      <c r="B131" s="6" t="str">
        <f>'📱 各班抽查登記表'!B93</f>
        <v>P3B</v>
      </c>
      <c r="C131" s="6">
        <f>'📱 各班抽查登記表'!C93</f>
        <v>0</v>
      </c>
      <c r="D131" s="6" t="str">
        <f>'📱 各班抽查登記表'!D93</f>
        <v/>
      </c>
      <c r="E131" s="23" t="str">
        <f>'📱 各班抽查登記表'!E93</f>
        <v/>
      </c>
      <c r="F131" s="23">
        <f>'📱 各班抽查登記表'!F93</f>
        <v>0</v>
      </c>
      <c r="G131" s="24" t="str">
        <f>'📱 各班抽查登記表'!G93</f>
        <v/>
      </c>
      <c r="H131" s="6" t="str">
        <f>'📱 各班抽查登記表'!H93</f>
        <v/>
      </c>
      <c r="I131" s="20">
        <f>'📱 各班抽查登記表'!I93</f>
        <v>0</v>
      </c>
      <c r="J131" s="20">
        <f>'📱 各班抽查登記表'!J93</f>
        <v>0</v>
      </c>
    </row>
    <row r="132" spans="1:10" ht="17">
      <c r="A132" s="6">
        <f>'📱 各班抽查登記表'!A94</f>
        <v>87</v>
      </c>
      <c r="B132" s="6" t="str">
        <f>'📱 各班抽查登記表'!B94</f>
        <v>P3B</v>
      </c>
      <c r="C132" s="6">
        <f>'📱 各班抽查登記表'!C94</f>
        <v>0</v>
      </c>
      <c r="D132" s="6" t="str">
        <f>'📱 各班抽查登記表'!D94</f>
        <v/>
      </c>
      <c r="E132" s="23" t="str">
        <f>'📱 各班抽查登記表'!E94</f>
        <v/>
      </c>
      <c r="F132" s="23">
        <f>'📱 各班抽查登記表'!F94</f>
        <v>0</v>
      </c>
      <c r="G132" s="24" t="str">
        <f>'📱 各班抽查登記表'!G94</f>
        <v/>
      </c>
      <c r="H132" s="6" t="str">
        <f>'📱 各班抽查登記表'!H94</f>
        <v/>
      </c>
      <c r="I132" s="20">
        <f>'📱 各班抽查登記表'!I94</f>
        <v>0</v>
      </c>
      <c r="J132" s="20">
        <f>'📱 各班抽查登記表'!J94</f>
        <v>0</v>
      </c>
    </row>
    <row r="133" spans="1:10" ht="17">
      <c r="A133" s="6">
        <f>'📱 各班抽查登記表'!A95</f>
        <v>88</v>
      </c>
      <c r="B133" s="6" t="str">
        <f>'📱 各班抽查登記表'!B95</f>
        <v>P3B</v>
      </c>
      <c r="C133" s="6">
        <f>'📱 各班抽查登記表'!C95</f>
        <v>0</v>
      </c>
      <c r="D133" s="6" t="str">
        <f>'📱 各班抽查登記表'!D95</f>
        <v/>
      </c>
      <c r="E133" s="23" t="str">
        <f>'📱 各班抽查登記表'!E95</f>
        <v/>
      </c>
      <c r="F133" s="23">
        <f>'📱 各班抽查登記表'!F95</f>
        <v>0</v>
      </c>
      <c r="G133" s="24" t="str">
        <f>'📱 各班抽查登記表'!G95</f>
        <v/>
      </c>
      <c r="H133" s="6" t="str">
        <f>'📱 各班抽查登記表'!H95</f>
        <v/>
      </c>
      <c r="I133" s="20">
        <f>'📱 各班抽查登記表'!I95</f>
        <v>0</v>
      </c>
      <c r="J133" s="20">
        <f>'📱 各班抽查登記表'!J95</f>
        <v>0</v>
      </c>
    </row>
    <row r="134" spans="1:10" ht="17">
      <c r="A134" s="6">
        <f>'📱 各班抽查登記表'!A96</f>
        <v>89</v>
      </c>
      <c r="B134" s="6" t="str">
        <f>'📱 各班抽查登記表'!B96</f>
        <v>P3C</v>
      </c>
      <c r="C134" s="6">
        <f>'📱 各班抽查登記表'!C96</f>
        <v>0</v>
      </c>
      <c r="D134" s="6" t="str">
        <f>'📱 各班抽查登記表'!D96</f>
        <v/>
      </c>
      <c r="E134" s="23" t="str">
        <f>'📱 各班抽查登記表'!E96</f>
        <v/>
      </c>
      <c r="F134" s="23">
        <f>'📱 各班抽查登記表'!F96</f>
        <v>0</v>
      </c>
      <c r="G134" s="24" t="str">
        <f>'📱 各班抽查登記表'!G96</f>
        <v/>
      </c>
      <c r="H134" s="6" t="str">
        <f>'📱 各班抽查登記表'!H96</f>
        <v/>
      </c>
      <c r="I134" s="20">
        <f>'📱 各班抽查登記表'!I96</f>
        <v>0</v>
      </c>
      <c r="J134" s="20">
        <f>'📱 各班抽查登記表'!J96</f>
        <v>0</v>
      </c>
    </row>
    <row r="135" spans="1:10" ht="17">
      <c r="A135" s="6">
        <f>'📱 各班抽查登記表'!A97</f>
        <v>90</v>
      </c>
      <c r="B135" s="6" t="str">
        <f>'📱 各班抽查登記表'!B97</f>
        <v>P3C</v>
      </c>
      <c r="C135" s="6">
        <f>'📱 各班抽查登記表'!C97</f>
        <v>0</v>
      </c>
      <c r="D135" s="6" t="str">
        <f>'📱 各班抽查登記表'!D97</f>
        <v/>
      </c>
      <c r="E135" s="23" t="str">
        <f>'📱 各班抽查登記表'!E97</f>
        <v/>
      </c>
      <c r="F135" s="23">
        <f>'📱 各班抽查登記表'!F97</f>
        <v>0</v>
      </c>
      <c r="G135" s="24" t="str">
        <f>'📱 各班抽查登記表'!G97</f>
        <v/>
      </c>
      <c r="H135" s="6" t="str">
        <f>'📱 各班抽查登記表'!H97</f>
        <v/>
      </c>
      <c r="I135" s="20">
        <f>'📱 各班抽查登記表'!I97</f>
        <v>0</v>
      </c>
      <c r="J135" s="20">
        <f>'📱 各班抽查登記表'!J97</f>
        <v>0</v>
      </c>
    </row>
    <row r="136" spans="1:10" ht="17">
      <c r="A136" s="6">
        <f>'📱 各班抽查登記表'!A98</f>
        <v>91</v>
      </c>
      <c r="B136" s="6" t="str">
        <f>'📱 各班抽查登記表'!B98</f>
        <v>P3C</v>
      </c>
      <c r="C136" s="6">
        <f>'📱 各班抽查登記表'!C98</f>
        <v>0</v>
      </c>
      <c r="D136" s="6" t="str">
        <f>'📱 各班抽查登記表'!D98</f>
        <v/>
      </c>
      <c r="E136" s="23" t="str">
        <f>'📱 各班抽查登記表'!E98</f>
        <v/>
      </c>
      <c r="F136" s="23">
        <f>'📱 各班抽查登記表'!F98</f>
        <v>0</v>
      </c>
      <c r="G136" s="24" t="str">
        <f>'📱 各班抽查登記表'!G98</f>
        <v/>
      </c>
      <c r="H136" s="6" t="str">
        <f>'📱 各班抽查登記表'!H98</f>
        <v/>
      </c>
      <c r="I136" s="20">
        <f>'📱 各班抽查登記表'!I98</f>
        <v>0</v>
      </c>
      <c r="J136" s="20">
        <f>'📱 各班抽查登記表'!J98</f>
        <v>0</v>
      </c>
    </row>
    <row r="137" spans="1:10" ht="17">
      <c r="A137" s="6">
        <f>'📱 各班抽查登記表'!A99</f>
        <v>92</v>
      </c>
      <c r="B137" s="6" t="str">
        <f>'📱 各班抽查登記表'!B99</f>
        <v>P3C</v>
      </c>
      <c r="C137" s="6">
        <f>'📱 各班抽查登記表'!C99</f>
        <v>0</v>
      </c>
      <c r="D137" s="6" t="str">
        <f>'📱 各班抽查登記表'!D99</f>
        <v/>
      </c>
      <c r="E137" s="23" t="str">
        <f>'📱 各班抽查登記表'!E99</f>
        <v/>
      </c>
      <c r="F137" s="23">
        <f>'📱 各班抽查登記表'!F99</f>
        <v>0</v>
      </c>
      <c r="G137" s="24" t="str">
        <f>'📱 各班抽查登記表'!G99</f>
        <v/>
      </c>
      <c r="H137" s="6" t="str">
        <f>'📱 各班抽查登記表'!H99</f>
        <v/>
      </c>
      <c r="I137" s="20">
        <f>'📱 各班抽查登記表'!I99</f>
        <v>0</v>
      </c>
      <c r="J137" s="20">
        <f>'📱 各班抽查登記表'!J99</f>
        <v>0</v>
      </c>
    </row>
    <row r="138" spans="1:10" ht="17">
      <c r="A138" s="6">
        <f>'📱 各班抽查登記表'!A100</f>
        <v>93</v>
      </c>
      <c r="B138" s="6" t="str">
        <f>'📱 各班抽查登記表'!B100</f>
        <v>P3C</v>
      </c>
      <c r="C138" s="6">
        <f>'📱 各班抽查登記表'!C100</f>
        <v>0</v>
      </c>
      <c r="D138" s="6" t="str">
        <f>'📱 各班抽查登記表'!D100</f>
        <v/>
      </c>
      <c r="E138" s="23" t="str">
        <f>'📱 各班抽查登記表'!E100</f>
        <v/>
      </c>
      <c r="F138" s="23">
        <f>'📱 各班抽查登記表'!F100</f>
        <v>0</v>
      </c>
      <c r="G138" s="24" t="str">
        <f>'📱 各班抽查登記表'!G100</f>
        <v/>
      </c>
      <c r="H138" s="6" t="str">
        <f>'📱 各班抽查登記表'!H100</f>
        <v/>
      </c>
      <c r="I138" s="20">
        <f>'📱 各班抽查登記表'!I100</f>
        <v>0</v>
      </c>
      <c r="J138" s="20">
        <f>'📱 各班抽查登記表'!J100</f>
        <v>0</v>
      </c>
    </row>
    <row r="139" spans="1:10" ht="17">
      <c r="A139" s="6">
        <f>'📱 各班抽查登記表'!A101</f>
        <v>94</v>
      </c>
      <c r="B139" s="6" t="str">
        <f>'📱 各班抽查登記表'!B101</f>
        <v>P3C</v>
      </c>
      <c r="C139" s="6">
        <f>'📱 各班抽查登記表'!C101</f>
        <v>0</v>
      </c>
      <c r="D139" s="6" t="str">
        <f>'📱 各班抽查登記表'!D101</f>
        <v/>
      </c>
      <c r="E139" s="23" t="str">
        <f>'📱 各班抽查登記表'!E101</f>
        <v/>
      </c>
      <c r="F139" s="23">
        <f>'📱 各班抽查登記表'!F101</f>
        <v>0</v>
      </c>
      <c r="G139" s="24" t="str">
        <f>'📱 各班抽查登記表'!G101</f>
        <v/>
      </c>
      <c r="H139" s="6" t="str">
        <f>'📱 各班抽查登記表'!H101</f>
        <v/>
      </c>
      <c r="I139" s="20">
        <f>'📱 各班抽查登記表'!I101</f>
        <v>0</v>
      </c>
      <c r="J139" s="20">
        <f>'📱 各班抽查登記表'!J101</f>
        <v>0</v>
      </c>
    </row>
    <row r="140" spans="1:10" ht="17">
      <c r="A140" s="6">
        <f>'📱 各班抽查登記表'!A102</f>
        <v>95</v>
      </c>
      <c r="B140" s="6" t="str">
        <f>'📱 各班抽查登記表'!B102</f>
        <v>P3C</v>
      </c>
      <c r="C140" s="6">
        <f>'📱 各班抽查登記表'!C102</f>
        <v>0</v>
      </c>
      <c r="D140" s="6" t="str">
        <f>'📱 各班抽查登記表'!D102</f>
        <v/>
      </c>
      <c r="E140" s="23" t="str">
        <f>'📱 各班抽查登記表'!E102</f>
        <v/>
      </c>
      <c r="F140" s="23">
        <f>'📱 各班抽查登記表'!F102</f>
        <v>0</v>
      </c>
      <c r="G140" s="24" t="str">
        <f>'📱 各班抽查登記表'!G102</f>
        <v/>
      </c>
      <c r="H140" s="6" t="str">
        <f>'📱 各班抽查登記表'!H102</f>
        <v/>
      </c>
      <c r="I140" s="20">
        <f>'📱 各班抽查登記表'!I102</f>
        <v>0</v>
      </c>
      <c r="J140" s="20">
        <f>'📱 各班抽查登記表'!J102</f>
        <v>0</v>
      </c>
    </row>
    <row r="141" spans="1:10" ht="17">
      <c r="A141" s="6">
        <f>'📱 各班抽查登記表'!A103</f>
        <v>96</v>
      </c>
      <c r="B141" s="6" t="str">
        <f>'📱 各班抽查登記表'!B103</f>
        <v>P3C</v>
      </c>
      <c r="C141" s="6">
        <f>'📱 各班抽查登記表'!C103</f>
        <v>0</v>
      </c>
      <c r="D141" s="6" t="str">
        <f>'📱 各班抽查登記表'!D103</f>
        <v/>
      </c>
      <c r="E141" s="23" t="str">
        <f>'📱 各班抽查登記表'!E103</f>
        <v/>
      </c>
      <c r="F141" s="23">
        <f>'📱 各班抽查登記表'!F103</f>
        <v>0</v>
      </c>
      <c r="G141" s="24" t="str">
        <f>'📱 各班抽查登記表'!G103</f>
        <v/>
      </c>
      <c r="H141" s="6" t="str">
        <f>'📱 各班抽查登記表'!H103</f>
        <v/>
      </c>
      <c r="I141" s="20">
        <f>'📱 各班抽查登記表'!I103</f>
        <v>0</v>
      </c>
      <c r="J141" s="20">
        <f>'📱 各班抽查登記表'!J103</f>
        <v>0</v>
      </c>
    </row>
    <row r="142" spans="1:10" ht="17">
      <c r="A142" s="6">
        <f>'📱 各班抽查登記表'!A104</f>
        <v>97</v>
      </c>
      <c r="B142" s="6" t="str">
        <f>'📱 各班抽查登記表'!B104</f>
        <v>P3C</v>
      </c>
      <c r="C142" s="6">
        <f>'📱 各班抽查登記表'!C104</f>
        <v>0</v>
      </c>
      <c r="D142" s="6" t="str">
        <f>'📱 各班抽查登記表'!D104</f>
        <v/>
      </c>
      <c r="E142" s="23" t="str">
        <f>'📱 各班抽查登記表'!E104</f>
        <v/>
      </c>
      <c r="F142" s="23">
        <f>'📱 各班抽查登記表'!F104</f>
        <v>0</v>
      </c>
      <c r="G142" s="24" t="str">
        <f>'📱 各班抽查登記表'!G104</f>
        <v/>
      </c>
      <c r="H142" s="6" t="str">
        <f>'📱 各班抽查登記表'!H104</f>
        <v/>
      </c>
      <c r="I142" s="20">
        <f>'📱 各班抽查登記表'!I104</f>
        <v>0</v>
      </c>
      <c r="J142" s="20">
        <f>'📱 各班抽查登記表'!J104</f>
        <v>0</v>
      </c>
    </row>
    <row r="143" spans="1:10" ht="17">
      <c r="A143" s="6">
        <f>'📱 各班抽查登記表'!A105</f>
        <v>98</v>
      </c>
      <c r="B143" s="6" t="str">
        <f>'📱 各班抽查登記表'!B105</f>
        <v>P3C</v>
      </c>
      <c r="C143" s="6">
        <f>'📱 各班抽查登記表'!C105</f>
        <v>0</v>
      </c>
      <c r="D143" s="6" t="str">
        <f>'📱 各班抽查登記表'!D105</f>
        <v/>
      </c>
      <c r="E143" s="23" t="str">
        <f>'📱 各班抽查登記表'!E105</f>
        <v/>
      </c>
      <c r="F143" s="23">
        <f>'📱 各班抽查登記表'!F105</f>
        <v>0</v>
      </c>
      <c r="G143" s="24" t="str">
        <f>'📱 各班抽查登記表'!G105</f>
        <v/>
      </c>
      <c r="H143" s="6" t="str">
        <f>'📱 各班抽查登記表'!H105</f>
        <v/>
      </c>
      <c r="I143" s="20">
        <f>'📱 各班抽查登記表'!I105</f>
        <v>0</v>
      </c>
      <c r="J143" s="20">
        <f>'📱 各班抽查登記表'!J105</f>
        <v>0</v>
      </c>
    </row>
    <row r="144" spans="1:10" ht="17">
      <c r="A144" s="6">
        <f>'📱 各班抽查登記表'!A106</f>
        <v>99</v>
      </c>
      <c r="B144" s="6" t="str">
        <f>'📱 各班抽查登記表'!B106</f>
        <v>P3C</v>
      </c>
      <c r="C144" s="6">
        <f>'📱 各班抽查登記表'!C106</f>
        <v>0</v>
      </c>
      <c r="D144" s="6" t="str">
        <f>'📱 各班抽查登記表'!D106</f>
        <v/>
      </c>
      <c r="E144" s="23" t="str">
        <f>'📱 各班抽查登記表'!E106</f>
        <v/>
      </c>
      <c r="F144" s="23">
        <f>'📱 各班抽查登記表'!F106</f>
        <v>0</v>
      </c>
      <c r="G144" s="24" t="str">
        <f>'📱 各班抽查登記表'!G106</f>
        <v/>
      </c>
      <c r="H144" s="6" t="str">
        <f>'📱 各班抽查登記表'!H106</f>
        <v/>
      </c>
      <c r="I144" s="20">
        <f>'📱 各班抽查登記表'!I106</f>
        <v>0</v>
      </c>
      <c r="J144" s="20">
        <f>'📱 各班抽查登記表'!J106</f>
        <v>0</v>
      </c>
    </row>
    <row r="145" spans="1:10" ht="17">
      <c r="A145" s="6">
        <f>'📱 各班抽查登記表'!A107</f>
        <v>100</v>
      </c>
      <c r="B145" s="6" t="str">
        <f>'📱 各班抽查登記表'!B107</f>
        <v>P3D</v>
      </c>
      <c r="C145" s="6">
        <f>'📱 各班抽查登記表'!C107</f>
        <v>0</v>
      </c>
      <c r="D145" s="6" t="str">
        <f>'📱 各班抽查登記表'!D107</f>
        <v/>
      </c>
      <c r="E145" s="23" t="str">
        <f>'📱 各班抽查登記表'!E107</f>
        <v/>
      </c>
      <c r="F145" s="23">
        <f>'📱 各班抽查登記表'!F107</f>
        <v>0</v>
      </c>
      <c r="G145" s="24" t="str">
        <f>'📱 各班抽查登記表'!G107</f>
        <v/>
      </c>
      <c r="H145" s="6" t="str">
        <f>'📱 各班抽查登記表'!H107</f>
        <v/>
      </c>
      <c r="I145" s="20">
        <f>'📱 各班抽查登記表'!I107</f>
        <v>0</v>
      </c>
      <c r="J145" s="20">
        <f>'📱 各班抽查登記表'!J107</f>
        <v>0</v>
      </c>
    </row>
    <row r="146" spans="1:10" ht="17">
      <c r="A146" s="6">
        <f>'📱 各班抽查登記表'!A108</f>
        <v>101</v>
      </c>
      <c r="B146" s="6" t="str">
        <f>'📱 各班抽查登記表'!B108</f>
        <v>P3D</v>
      </c>
      <c r="C146" s="6">
        <f>'📱 各班抽查登記表'!C108</f>
        <v>0</v>
      </c>
      <c r="D146" s="6" t="str">
        <f>'📱 各班抽查登記表'!D108</f>
        <v/>
      </c>
      <c r="E146" s="23" t="str">
        <f>'📱 各班抽查登記表'!E108</f>
        <v/>
      </c>
      <c r="F146" s="23">
        <f>'📱 各班抽查登記表'!F108</f>
        <v>0</v>
      </c>
      <c r="G146" s="24" t="str">
        <f>'📱 各班抽查登記表'!G108</f>
        <v/>
      </c>
      <c r="H146" s="6" t="str">
        <f>'📱 各班抽查登記表'!H108</f>
        <v/>
      </c>
      <c r="I146" s="20">
        <f>'📱 各班抽查登記表'!I108</f>
        <v>0</v>
      </c>
      <c r="J146" s="20">
        <f>'📱 各班抽查登記表'!J108</f>
        <v>0</v>
      </c>
    </row>
    <row r="147" spans="1:10" ht="17">
      <c r="A147" s="6">
        <f>'📱 各班抽查登記表'!A109</f>
        <v>102</v>
      </c>
      <c r="B147" s="6" t="str">
        <f>'📱 各班抽查登記表'!B109</f>
        <v>P3D</v>
      </c>
      <c r="C147" s="6">
        <f>'📱 各班抽查登記表'!C109</f>
        <v>0</v>
      </c>
      <c r="D147" s="6" t="str">
        <f>'📱 各班抽查登記表'!D109</f>
        <v/>
      </c>
      <c r="E147" s="23" t="str">
        <f>'📱 各班抽查登記表'!E109</f>
        <v/>
      </c>
      <c r="F147" s="23">
        <f>'📱 各班抽查登記表'!F109</f>
        <v>0</v>
      </c>
      <c r="G147" s="24" t="str">
        <f>'📱 各班抽查登記表'!G109</f>
        <v/>
      </c>
      <c r="H147" s="6" t="str">
        <f>'📱 各班抽查登記表'!H109</f>
        <v/>
      </c>
      <c r="I147" s="20">
        <f>'📱 各班抽查登記表'!I109</f>
        <v>0</v>
      </c>
      <c r="J147" s="20">
        <f>'📱 各班抽查登記表'!J109</f>
        <v>0</v>
      </c>
    </row>
    <row r="148" spans="1:10" ht="17">
      <c r="A148" s="6">
        <f>'📱 各班抽查登記表'!A110</f>
        <v>103</v>
      </c>
      <c r="B148" s="6" t="str">
        <f>'📱 各班抽查登記表'!B110</f>
        <v>P3D</v>
      </c>
      <c r="C148" s="6">
        <f>'📱 各班抽查登記表'!C110</f>
        <v>0</v>
      </c>
      <c r="D148" s="6" t="str">
        <f>'📱 各班抽查登記表'!D110</f>
        <v/>
      </c>
      <c r="E148" s="23" t="str">
        <f>'📱 各班抽查登記表'!E110</f>
        <v/>
      </c>
      <c r="F148" s="23">
        <f>'📱 各班抽查登記表'!F110</f>
        <v>0</v>
      </c>
      <c r="G148" s="24" t="str">
        <f>'📱 各班抽查登記表'!G110</f>
        <v/>
      </c>
      <c r="H148" s="6" t="str">
        <f>'📱 各班抽查登記表'!H110</f>
        <v/>
      </c>
      <c r="I148" s="20">
        <f>'📱 各班抽查登記表'!I110</f>
        <v>0</v>
      </c>
      <c r="J148" s="20">
        <f>'📱 各班抽查登記表'!J110</f>
        <v>0</v>
      </c>
    </row>
    <row r="149" spans="1:10" ht="17">
      <c r="A149" s="6">
        <f>'📱 各班抽查登記表'!A111</f>
        <v>104</v>
      </c>
      <c r="B149" s="6" t="str">
        <f>'📱 各班抽查登記表'!B111</f>
        <v>P3D</v>
      </c>
      <c r="C149" s="6">
        <f>'📱 各班抽查登記表'!C111</f>
        <v>0</v>
      </c>
      <c r="D149" s="6" t="str">
        <f>'📱 各班抽查登記表'!D111</f>
        <v/>
      </c>
      <c r="E149" s="23" t="str">
        <f>'📱 各班抽查登記表'!E111</f>
        <v/>
      </c>
      <c r="F149" s="23">
        <f>'📱 各班抽查登記表'!F111</f>
        <v>0</v>
      </c>
      <c r="G149" s="24" t="str">
        <f>'📱 各班抽查登記表'!G111</f>
        <v/>
      </c>
      <c r="H149" s="6" t="str">
        <f>'📱 各班抽查登記表'!H111</f>
        <v/>
      </c>
      <c r="I149" s="20">
        <f>'📱 各班抽查登記表'!I111</f>
        <v>0</v>
      </c>
      <c r="J149" s="20">
        <f>'📱 各班抽查登記表'!J111</f>
        <v>0</v>
      </c>
    </row>
    <row r="150" spans="1:10" ht="17">
      <c r="A150" s="6">
        <f>'📱 各班抽查登記表'!A112</f>
        <v>105</v>
      </c>
      <c r="B150" s="6" t="str">
        <f>'📱 各班抽查登記表'!B112</f>
        <v>P3D</v>
      </c>
      <c r="C150" s="6">
        <f>'📱 各班抽查登記表'!C112</f>
        <v>0</v>
      </c>
      <c r="D150" s="6" t="str">
        <f>'📱 各班抽查登記表'!D112</f>
        <v/>
      </c>
      <c r="E150" s="23" t="str">
        <f>'📱 各班抽查登記表'!E112</f>
        <v/>
      </c>
      <c r="F150" s="23">
        <f>'📱 各班抽查登記表'!F112</f>
        <v>0</v>
      </c>
      <c r="G150" s="24" t="str">
        <f>'📱 各班抽查登記表'!G112</f>
        <v/>
      </c>
      <c r="H150" s="6" t="str">
        <f>'📱 各班抽查登記表'!H112</f>
        <v/>
      </c>
      <c r="I150" s="20">
        <f>'📱 各班抽查登記表'!I112</f>
        <v>0</v>
      </c>
      <c r="J150" s="20">
        <f>'📱 各班抽查登記表'!J112</f>
        <v>0</v>
      </c>
    </row>
    <row r="151" spans="1:10" ht="17">
      <c r="A151" s="6">
        <f>'📱 各班抽查登記表'!A113</f>
        <v>106</v>
      </c>
      <c r="B151" s="6" t="str">
        <f>'📱 各班抽查登記表'!B113</f>
        <v>P3D</v>
      </c>
      <c r="C151" s="6">
        <f>'📱 各班抽查登記表'!C113</f>
        <v>0</v>
      </c>
      <c r="D151" s="6" t="str">
        <f>'📱 各班抽查登記表'!D113</f>
        <v/>
      </c>
      <c r="E151" s="23" t="str">
        <f>'📱 各班抽查登記表'!E113</f>
        <v/>
      </c>
      <c r="F151" s="23">
        <f>'📱 各班抽查登記表'!F113</f>
        <v>0</v>
      </c>
      <c r="G151" s="24" t="str">
        <f>'📱 各班抽查登記表'!G113</f>
        <v/>
      </c>
      <c r="H151" s="6" t="str">
        <f>'📱 各班抽查登記表'!H113</f>
        <v/>
      </c>
      <c r="I151" s="20">
        <f>'📱 各班抽查登記表'!I113</f>
        <v>0</v>
      </c>
      <c r="J151" s="20">
        <f>'📱 各班抽查登記表'!J113</f>
        <v>0</v>
      </c>
    </row>
    <row r="152" spans="1:10" ht="17">
      <c r="A152" s="6">
        <f>'📱 各班抽查登記表'!A114</f>
        <v>107</v>
      </c>
      <c r="B152" s="6" t="str">
        <f>'📱 各班抽查登記表'!B114</f>
        <v>P3D</v>
      </c>
      <c r="C152" s="6">
        <f>'📱 各班抽查登記表'!C114</f>
        <v>0</v>
      </c>
      <c r="D152" s="6" t="str">
        <f>'📱 各班抽查登記表'!D114</f>
        <v/>
      </c>
      <c r="E152" s="23" t="str">
        <f>'📱 各班抽查登記表'!E114</f>
        <v/>
      </c>
      <c r="F152" s="23">
        <f>'📱 各班抽查登記表'!F114</f>
        <v>0</v>
      </c>
      <c r="G152" s="24" t="str">
        <f>'📱 各班抽查登記表'!G114</f>
        <v/>
      </c>
      <c r="H152" s="6" t="str">
        <f>'📱 各班抽查登記表'!H114</f>
        <v/>
      </c>
      <c r="I152" s="20">
        <f>'📱 各班抽查登記表'!I114</f>
        <v>0</v>
      </c>
      <c r="J152" s="20">
        <f>'📱 各班抽查登記表'!J114</f>
        <v>0</v>
      </c>
    </row>
    <row r="153" spans="1:10" ht="17">
      <c r="A153" s="6">
        <f>'📱 各班抽查登記表'!A115</f>
        <v>108</v>
      </c>
      <c r="B153" s="6" t="str">
        <f>'📱 各班抽查登記表'!B115</f>
        <v>P3D</v>
      </c>
      <c r="C153" s="6">
        <f>'📱 各班抽查登記表'!C115</f>
        <v>0</v>
      </c>
      <c r="D153" s="6" t="str">
        <f>'📱 各班抽查登記表'!D115</f>
        <v/>
      </c>
      <c r="E153" s="23" t="str">
        <f>'📱 各班抽查登記表'!E115</f>
        <v/>
      </c>
      <c r="F153" s="23">
        <f>'📱 各班抽查登記表'!F115</f>
        <v>0</v>
      </c>
      <c r="G153" s="24" t="str">
        <f>'📱 各班抽查登記表'!G115</f>
        <v/>
      </c>
      <c r="H153" s="6" t="str">
        <f>'📱 各班抽查登記表'!H115</f>
        <v/>
      </c>
      <c r="I153" s="20">
        <f>'📱 各班抽查登記表'!I115</f>
        <v>0</v>
      </c>
      <c r="J153" s="20">
        <f>'📱 各班抽查登記表'!J115</f>
        <v>0</v>
      </c>
    </row>
    <row r="154" spans="1:10" ht="17">
      <c r="A154" s="6">
        <f>'📱 各班抽查登記表'!A116</f>
        <v>109</v>
      </c>
      <c r="B154" s="6" t="str">
        <f>'📱 各班抽查登記表'!B116</f>
        <v>P3D</v>
      </c>
      <c r="C154" s="6">
        <f>'📱 各班抽查登記表'!C116</f>
        <v>0</v>
      </c>
      <c r="D154" s="6" t="str">
        <f>'📱 各班抽查登記表'!D116</f>
        <v/>
      </c>
      <c r="E154" s="23" t="str">
        <f>'📱 各班抽查登記表'!E116</f>
        <v/>
      </c>
      <c r="F154" s="23">
        <f>'📱 各班抽查登記表'!F116</f>
        <v>0</v>
      </c>
      <c r="G154" s="24" t="str">
        <f>'📱 各班抽查登記表'!G116</f>
        <v/>
      </c>
      <c r="H154" s="6" t="str">
        <f>'📱 各班抽查登記表'!H116</f>
        <v/>
      </c>
      <c r="I154" s="20">
        <f>'📱 各班抽查登記表'!I116</f>
        <v>0</v>
      </c>
      <c r="J154" s="20">
        <f>'📱 各班抽查登記表'!J116</f>
        <v>0</v>
      </c>
    </row>
    <row r="155" spans="1:10" ht="17">
      <c r="A155" s="6">
        <f>'📱 各班抽查登記表'!A117</f>
        <v>110</v>
      </c>
      <c r="B155" s="6" t="str">
        <f>'📱 各班抽查登記表'!B117</f>
        <v>P3D</v>
      </c>
      <c r="C155" s="6">
        <f>'📱 各班抽查登記表'!C117</f>
        <v>0</v>
      </c>
      <c r="D155" s="6" t="str">
        <f>'📱 各班抽查登記表'!D117</f>
        <v/>
      </c>
      <c r="E155" s="23" t="str">
        <f>'📱 各班抽查登記表'!E117</f>
        <v/>
      </c>
      <c r="F155" s="23">
        <f>'📱 各班抽查登記表'!F117</f>
        <v>0</v>
      </c>
      <c r="G155" s="24" t="str">
        <f>'📱 各班抽查登記表'!G117</f>
        <v/>
      </c>
      <c r="H155" s="6" t="str">
        <f>'📱 各班抽查登記表'!H117</f>
        <v/>
      </c>
      <c r="I155" s="20">
        <f>'📱 各班抽查登記表'!I117</f>
        <v>0</v>
      </c>
      <c r="J155" s="20">
        <f>'📱 各班抽查登記表'!J117</f>
        <v>0</v>
      </c>
    </row>
    <row r="156" spans="1:10" ht="17">
      <c r="A156" s="6">
        <f>'📱 各班抽查登記表'!A118</f>
        <v>111</v>
      </c>
      <c r="B156" s="6" t="str">
        <f>'📱 各班抽查登記表'!B118</f>
        <v>P4A</v>
      </c>
      <c r="C156" s="6">
        <f>'📱 各班抽查登記表'!C118</f>
        <v>0</v>
      </c>
      <c r="D156" s="6" t="str">
        <f>'📱 各班抽查登記表'!D118</f>
        <v/>
      </c>
      <c r="E156" s="23" t="str">
        <f>'📱 各班抽查登記表'!E118</f>
        <v/>
      </c>
      <c r="F156" s="23">
        <f>'📱 各班抽查登記表'!F118</f>
        <v>0</v>
      </c>
      <c r="G156" s="24" t="str">
        <f>'📱 各班抽查登記表'!G118</f>
        <v/>
      </c>
      <c r="H156" s="6" t="str">
        <f>'📱 各班抽查登記表'!H118</f>
        <v/>
      </c>
      <c r="I156" s="20">
        <f>'📱 各班抽查登記表'!I118</f>
        <v>0</v>
      </c>
      <c r="J156" s="20">
        <f>'📱 各班抽查登記表'!J118</f>
        <v>0</v>
      </c>
    </row>
    <row r="157" spans="1:10" ht="17">
      <c r="A157" s="6">
        <f>'📱 各班抽查登記表'!A119</f>
        <v>112</v>
      </c>
      <c r="B157" s="6" t="str">
        <f>'📱 各班抽查登記表'!B119</f>
        <v>P4A</v>
      </c>
      <c r="C157" s="6">
        <f>'📱 各班抽查登記表'!C119</f>
        <v>0</v>
      </c>
      <c r="D157" s="6" t="str">
        <f>'📱 各班抽查登記表'!D119</f>
        <v/>
      </c>
      <c r="E157" s="23" t="str">
        <f>'📱 各班抽查登記表'!E119</f>
        <v/>
      </c>
      <c r="F157" s="23">
        <f>'📱 各班抽查登記表'!F119</f>
        <v>0</v>
      </c>
      <c r="G157" s="24" t="str">
        <f>'📱 各班抽查登記表'!G119</f>
        <v/>
      </c>
      <c r="H157" s="6" t="str">
        <f>'📱 各班抽查登記表'!H119</f>
        <v/>
      </c>
      <c r="I157" s="20">
        <f>'📱 各班抽查登記表'!I119</f>
        <v>0</v>
      </c>
      <c r="J157" s="20">
        <f>'📱 各班抽查登記表'!J119</f>
        <v>0</v>
      </c>
    </row>
    <row r="158" spans="1:10" ht="17">
      <c r="A158" s="6">
        <f>'📱 各班抽查登記表'!A120</f>
        <v>113</v>
      </c>
      <c r="B158" s="6" t="str">
        <f>'📱 各班抽查登記表'!B120</f>
        <v>P4A</v>
      </c>
      <c r="C158" s="6">
        <f>'📱 各班抽查登記表'!C120</f>
        <v>0</v>
      </c>
      <c r="D158" s="6" t="str">
        <f>'📱 各班抽查登記表'!D120</f>
        <v/>
      </c>
      <c r="E158" s="23" t="str">
        <f>'📱 各班抽查登記表'!E120</f>
        <v/>
      </c>
      <c r="F158" s="23">
        <f>'📱 各班抽查登記表'!F120</f>
        <v>0</v>
      </c>
      <c r="G158" s="24" t="str">
        <f>'📱 各班抽查登記表'!G120</f>
        <v/>
      </c>
      <c r="H158" s="6" t="str">
        <f>'📱 各班抽查登記表'!H120</f>
        <v/>
      </c>
      <c r="I158" s="20">
        <f>'📱 各班抽查登記表'!I120</f>
        <v>0</v>
      </c>
      <c r="J158" s="20">
        <f>'📱 各班抽查登記表'!J120</f>
        <v>0</v>
      </c>
    </row>
    <row r="159" spans="1:10" ht="17">
      <c r="A159" s="6">
        <f>'📱 各班抽查登記表'!A121</f>
        <v>114</v>
      </c>
      <c r="B159" s="6" t="str">
        <f>'📱 各班抽查登記表'!B121</f>
        <v>P4A</v>
      </c>
      <c r="C159" s="6">
        <f>'📱 各班抽查登記表'!C121</f>
        <v>0</v>
      </c>
      <c r="D159" s="6" t="str">
        <f>'📱 各班抽查登記表'!D121</f>
        <v/>
      </c>
      <c r="E159" s="23" t="str">
        <f>'📱 各班抽查登記表'!E121</f>
        <v/>
      </c>
      <c r="F159" s="23">
        <f>'📱 各班抽查登記表'!F121</f>
        <v>0</v>
      </c>
      <c r="G159" s="24" t="str">
        <f>'📱 各班抽查登記表'!G121</f>
        <v/>
      </c>
      <c r="H159" s="6" t="str">
        <f>'📱 各班抽查登記表'!H121</f>
        <v/>
      </c>
      <c r="I159" s="20">
        <f>'📱 各班抽查登記表'!I121</f>
        <v>0</v>
      </c>
      <c r="J159" s="20">
        <f>'📱 各班抽查登記表'!J121</f>
        <v>0</v>
      </c>
    </row>
    <row r="160" spans="1:10" ht="17">
      <c r="A160" s="6">
        <f>'📱 各班抽查登記表'!A122</f>
        <v>115</v>
      </c>
      <c r="B160" s="6" t="str">
        <f>'📱 各班抽查登記表'!B122</f>
        <v>P4A</v>
      </c>
      <c r="C160" s="6">
        <f>'📱 各班抽查登記表'!C122</f>
        <v>0</v>
      </c>
      <c r="D160" s="6" t="str">
        <f>'📱 各班抽查登記表'!D122</f>
        <v/>
      </c>
      <c r="E160" s="23" t="str">
        <f>'📱 各班抽查登記表'!E122</f>
        <v/>
      </c>
      <c r="F160" s="23">
        <f>'📱 各班抽查登記表'!F122</f>
        <v>0</v>
      </c>
      <c r="G160" s="24" t="str">
        <f>'📱 各班抽查登記表'!G122</f>
        <v/>
      </c>
      <c r="H160" s="6" t="str">
        <f>'📱 各班抽查登記表'!H122</f>
        <v/>
      </c>
      <c r="I160" s="20">
        <f>'📱 各班抽查登記表'!I122</f>
        <v>0</v>
      </c>
      <c r="J160" s="20">
        <f>'📱 各班抽查登記表'!J122</f>
        <v>0</v>
      </c>
    </row>
    <row r="161" spans="1:10" ht="17">
      <c r="A161" s="6">
        <f>'📱 各班抽查登記表'!A123</f>
        <v>116</v>
      </c>
      <c r="B161" s="6" t="str">
        <f>'📱 各班抽查登記表'!B123</f>
        <v>P4A</v>
      </c>
      <c r="C161" s="6">
        <f>'📱 各班抽查登記表'!C123</f>
        <v>0</v>
      </c>
      <c r="D161" s="6" t="str">
        <f>'📱 各班抽查登記表'!D123</f>
        <v/>
      </c>
      <c r="E161" s="23" t="str">
        <f>'📱 各班抽查登記表'!E123</f>
        <v/>
      </c>
      <c r="F161" s="23">
        <f>'📱 各班抽查登記表'!F123</f>
        <v>0</v>
      </c>
      <c r="G161" s="24" t="str">
        <f>'📱 各班抽查登記表'!G123</f>
        <v/>
      </c>
      <c r="H161" s="6" t="str">
        <f>'📱 各班抽查登記表'!H123</f>
        <v/>
      </c>
      <c r="I161" s="20">
        <f>'📱 各班抽查登記表'!I123</f>
        <v>0</v>
      </c>
      <c r="J161" s="20">
        <f>'📱 各班抽查登記表'!J123</f>
        <v>0</v>
      </c>
    </row>
    <row r="162" spans="1:10" ht="17">
      <c r="A162" s="6">
        <f>'📱 各班抽查登記表'!A124</f>
        <v>117</v>
      </c>
      <c r="B162" s="6" t="str">
        <f>'📱 各班抽查登記表'!B124</f>
        <v>P4A</v>
      </c>
      <c r="C162" s="6">
        <f>'📱 各班抽查登記表'!C124</f>
        <v>0</v>
      </c>
      <c r="D162" s="6" t="str">
        <f>'📱 各班抽查登記表'!D124</f>
        <v/>
      </c>
      <c r="E162" s="23" t="str">
        <f>'📱 各班抽查登記表'!E124</f>
        <v/>
      </c>
      <c r="F162" s="23">
        <f>'📱 各班抽查登記表'!F124</f>
        <v>0</v>
      </c>
      <c r="G162" s="24" t="str">
        <f>'📱 各班抽查登記表'!G124</f>
        <v/>
      </c>
      <c r="H162" s="6" t="str">
        <f>'📱 各班抽查登記表'!H124</f>
        <v/>
      </c>
      <c r="I162" s="20">
        <f>'📱 各班抽查登記表'!I124</f>
        <v>0</v>
      </c>
      <c r="J162" s="20">
        <f>'📱 各班抽查登記表'!J124</f>
        <v>0</v>
      </c>
    </row>
    <row r="163" spans="1:10" ht="17">
      <c r="A163" s="6">
        <f>'📱 各班抽查登記表'!A125</f>
        <v>118</v>
      </c>
      <c r="B163" s="6" t="str">
        <f>'📱 各班抽查登記表'!B125</f>
        <v>P4A</v>
      </c>
      <c r="C163" s="6">
        <f>'📱 各班抽查登記表'!C125</f>
        <v>0</v>
      </c>
      <c r="D163" s="6" t="str">
        <f>'📱 各班抽查登記表'!D125</f>
        <v/>
      </c>
      <c r="E163" s="23" t="str">
        <f>'📱 各班抽查登記表'!E125</f>
        <v/>
      </c>
      <c r="F163" s="23">
        <f>'📱 各班抽查登記表'!F125</f>
        <v>0</v>
      </c>
      <c r="G163" s="24" t="str">
        <f>'📱 各班抽查登記表'!G125</f>
        <v/>
      </c>
      <c r="H163" s="6" t="str">
        <f>'📱 各班抽查登記表'!H125</f>
        <v/>
      </c>
      <c r="I163" s="20">
        <f>'📱 各班抽查登記表'!I125</f>
        <v>0</v>
      </c>
      <c r="J163" s="20">
        <f>'📱 各班抽查登記表'!J125</f>
        <v>0</v>
      </c>
    </row>
    <row r="164" spans="1:10" ht="17">
      <c r="A164" s="6">
        <f>'📱 各班抽查登記表'!A126</f>
        <v>119</v>
      </c>
      <c r="B164" s="6" t="str">
        <f>'📱 各班抽查登記表'!B126</f>
        <v>P4A</v>
      </c>
      <c r="C164" s="6">
        <f>'📱 各班抽查登記表'!C126</f>
        <v>0</v>
      </c>
      <c r="D164" s="6" t="str">
        <f>'📱 各班抽查登記表'!D126</f>
        <v/>
      </c>
      <c r="E164" s="23" t="str">
        <f>'📱 各班抽查登記表'!E126</f>
        <v/>
      </c>
      <c r="F164" s="23">
        <f>'📱 各班抽查登記表'!F126</f>
        <v>0</v>
      </c>
      <c r="G164" s="24" t="str">
        <f>'📱 各班抽查登記表'!G126</f>
        <v/>
      </c>
      <c r="H164" s="6" t="str">
        <f>'📱 各班抽查登記表'!H126</f>
        <v/>
      </c>
      <c r="I164" s="20">
        <f>'📱 各班抽查登記表'!I126</f>
        <v>0</v>
      </c>
      <c r="J164" s="20">
        <f>'📱 各班抽查登記表'!J126</f>
        <v>0</v>
      </c>
    </row>
    <row r="165" spans="1:10" ht="17">
      <c r="A165" s="6">
        <f>'📱 各班抽查登記表'!A127</f>
        <v>120</v>
      </c>
      <c r="B165" s="6" t="str">
        <f>'📱 各班抽查登記表'!B127</f>
        <v>P4A</v>
      </c>
      <c r="C165" s="6">
        <f>'📱 各班抽查登記表'!C127</f>
        <v>0</v>
      </c>
      <c r="D165" s="6" t="str">
        <f>'📱 各班抽查登記表'!D127</f>
        <v/>
      </c>
      <c r="E165" s="23" t="str">
        <f>'📱 各班抽查登記表'!E127</f>
        <v/>
      </c>
      <c r="F165" s="23">
        <f>'📱 各班抽查登記表'!F127</f>
        <v>0</v>
      </c>
      <c r="G165" s="24" t="str">
        <f>'📱 各班抽查登記表'!G127</f>
        <v/>
      </c>
      <c r="H165" s="6" t="str">
        <f>'📱 各班抽查登記表'!H127</f>
        <v/>
      </c>
      <c r="I165" s="20">
        <f>'📱 各班抽查登記表'!I127</f>
        <v>0</v>
      </c>
      <c r="J165" s="20">
        <f>'📱 各班抽查登記表'!J127</f>
        <v>0</v>
      </c>
    </row>
    <row r="166" spans="1:10" ht="17">
      <c r="A166" s="6">
        <f>'📱 各班抽查登記表'!A128</f>
        <v>121</v>
      </c>
      <c r="B166" s="6" t="str">
        <f>'📱 各班抽查登記表'!B128</f>
        <v>P4A</v>
      </c>
      <c r="C166" s="6">
        <f>'📱 各班抽查登記表'!C128</f>
        <v>0</v>
      </c>
      <c r="D166" s="6" t="str">
        <f>'📱 各班抽查登記表'!D128</f>
        <v/>
      </c>
      <c r="E166" s="23" t="str">
        <f>'📱 各班抽查登記表'!E128</f>
        <v/>
      </c>
      <c r="F166" s="23">
        <f>'📱 各班抽查登記表'!F128</f>
        <v>0</v>
      </c>
      <c r="G166" s="24" t="str">
        <f>'📱 各班抽查登記表'!G128</f>
        <v/>
      </c>
      <c r="H166" s="6" t="str">
        <f>'📱 各班抽查登記表'!H128</f>
        <v/>
      </c>
      <c r="I166" s="20">
        <f>'📱 各班抽查登記表'!I128</f>
        <v>0</v>
      </c>
      <c r="J166" s="20">
        <f>'📱 各班抽查登記表'!J128</f>
        <v>0</v>
      </c>
    </row>
    <row r="167" spans="1:10" ht="17">
      <c r="A167" s="6">
        <f>'📱 各班抽查登記表'!A129</f>
        <v>122</v>
      </c>
      <c r="B167" s="6" t="str">
        <f>'📱 各班抽查登記表'!B129</f>
        <v>P4B</v>
      </c>
      <c r="C167" s="6">
        <f>'📱 各班抽查登記表'!C129</f>
        <v>0</v>
      </c>
      <c r="D167" s="6" t="str">
        <f>'📱 各班抽查登記表'!D129</f>
        <v/>
      </c>
      <c r="E167" s="23" t="str">
        <f>'📱 各班抽查登記表'!E129</f>
        <v/>
      </c>
      <c r="F167" s="23">
        <f>'📱 各班抽查登記表'!F129</f>
        <v>0</v>
      </c>
      <c r="G167" s="24" t="str">
        <f>'📱 各班抽查登記表'!G129</f>
        <v/>
      </c>
      <c r="H167" s="6" t="str">
        <f>'📱 各班抽查登記表'!H129</f>
        <v/>
      </c>
      <c r="I167" s="20">
        <f>'📱 各班抽查登記表'!I129</f>
        <v>0</v>
      </c>
      <c r="J167" s="20">
        <f>'📱 各班抽查登記表'!J129</f>
        <v>0</v>
      </c>
    </row>
    <row r="168" spans="1:10" ht="17">
      <c r="A168" s="6">
        <f>'📱 各班抽查登記表'!A130</f>
        <v>123</v>
      </c>
      <c r="B168" s="6" t="str">
        <f>'📱 各班抽查登記表'!B130</f>
        <v>P4B</v>
      </c>
      <c r="C168" s="6">
        <f>'📱 各班抽查登記表'!C130</f>
        <v>0</v>
      </c>
      <c r="D168" s="6" t="str">
        <f>'📱 各班抽查登記表'!D130</f>
        <v/>
      </c>
      <c r="E168" s="23" t="str">
        <f>'📱 各班抽查登記表'!E130</f>
        <v/>
      </c>
      <c r="F168" s="23">
        <f>'📱 各班抽查登記表'!F130</f>
        <v>0</v>
      </c>
      <c r="G168" s="24" t="str">
        <f>'📱 各班抽查登記表'!G130</f>
        <v/>
      </c>
      <c r="H168" s="6" t="str">
        <f>'📱 各班抽查登記表'!H130</f>
        <v/>
      </c>
      <c r="I168" s="20">
        <f>'📱 各班抽查登記表'!I130</f>
        <v>0</v>
      </c>
      <c r="J168" s="20">
        <f>'📱 各班抽查登記表'!J130</f>
        <v>0</v>
      </c>
    </row>
    <row r="169" spans="1:10" ht="17">
      <c r="A169" s="6">
        <f>'📱 各班抽查登記表'!A131</f>
        <v>124</v>
      </c>
      <c r="B169" s="6" t="str">
        <f>'📱 各班抽查登記表'!B131</f>
        <v>P4B</v>
      </c>
      <c r="C169" s="6">
        <f>'📱 各班抽查登記表'!C131</f>
        <v>0</v>
      </c>
      <c r="D169" s="6" t="str">
        <f>'📱 各班抽查登記表'!D131</f>
        <v/>
      </c>
      <c r="E169" s="23" t="str">
        <f>'📱 各班抽查登記表'!E131</f>
        <v/>
      </c>
      <c r="F169" s="23">
        <f>'📱 各班抽查登記表'!F131</f>
        <v>0</v>
      </c>
      <c r="G169" s="24" t="str">
        <f>'📱 各班抽查登記表'!G131</f>
        <v/>
      </c>
      <c r="H169" s="6" t="str">
        <f>'📱 各班抽查登記表'!H131</f>
        <v/>
      </c>
      <c r="I169" s="20">
        <f>'📱 各班抽查登記表'!I131</f>
        <v>0</v>
      </c>
      <c r="J169" s="20">
        <f>'📱 各班抽查登記表'!J131</f>
        <v>0</v>
      </c>
    </row>
    <row r="170" spans="1:10" ht="17">
      <c r="A170" s="6">
        <f>'📱 各班抽查登記表'!A132</f>
        <v>125</v>
      </c>
      <c r="B170" s="6" t="str">
        <f>'📱 各班抽查登記表'!B132</f>
        <v>P4B</v>
      </c>
      <c r="C170" s="6">
        <f>'📱 各班抽查登記表'!C132</f>
        <v>0</v>
      </c>
      <c r="D170" s="6" t="str">
        <f>'📱 各班抽查登記表'!D132</f>
        <v/>
      </c>
      <c r="E170" s="23" t="str">
        <f>'📱 各班抽查登記表'!E132</f>
        <v/>
      </c>
      <c r="F170" s="23">
        <f>'📱 各班抽查登記表'!F132</f>
        <v>0</v>
      </c>
      <c r="G170" s="24" t="str">
        <f>'📱 各班抽查登記表'!G132</f>
        <v/>
      </c>
      <c r="H170" s="6" t="str">
        <f>'📱 各班抽查登記表'!H132</f>
        <v/>
      </c>
      <c r="I170" s="20">
        <f>'📱 各班抽查登記表'!I132</f>
        <v>0</v>
      </c>
      <c r="J170" s="20">
        <f>'📱 各班抽查登記表'!J132</f>
        <v>0</v>
      </c>
    </row>
    <row r="171" spans="1:10" ht="17">
      <c r="A171" s="6">
        <f>'📱 各班抽查登記表'!A133</f>
        <v>126</v>
      </c>
      <c r="B171" s="6" t="str">
        <f>'📱 各班抽查登記表'!B133</f>
        <v>P4B</v>
      </c>
      <c r="C171" s="6">
        <f>'📱 各班抽查登記表'!C133</f>
        <v>0</v>
      </c>
      <c r="D171" s="6" t="str">
        <f>'📱 各班抽查登記表'!D133</f>
        <v/>
      </c>
      <c r="E171" s="23" t="str">
        <f>'📱 各班抽查登記表'!E133</f>
        <v/>
      </c>
      <c r="F171" s="23">
        <f>'📱 各班抽查登記表'!F133</f>
        <v>0</v>
      </c>
      <c r="G171" s="24" t="str">
        <f>'📱 各班抽查登記表'!G133</f>
        <v/>
      </c>
      <c r="H171" s="6" t="str">
        <f>'📱 各班抽查登記表'!H133</f>
        <v/>
      </c>
      <c r="I171" s="20">
        <f>'📱 各班抽查登記表'!I133</f>
        <v>0</v>
      </c>
      <c r="J171" s="20">
        <f>'📱 各班抽查登記表'!J133</f>
        <v>0</v>
      </c>
    </row>
    <row r="172" spans="1:10" ht="17">
      <c r="A172" s="6">
        <f>'📱 各班抽查登記表'!A134</f>
        <v>127</v>
      </c>
      <c r="B172" s="6" t="str">
        <f>'📱 各班抽查登記表'!B134</f>
        <v>P4B</v>
      </c>
      <c r="C172" s="6">
        <f>'📱 各班抽查登記表'!C134</f>
        <v>0</v>
      </c>
      <c r="D172" s="6" t="str">
        <f>'📱 各班抽查登記表'!D134</f>
        <v/>
      </c>
      <c r="E172" s="23" t="str">
        <f>'📱 各班抽查登記表'!E134</f>
        <v/>
      </c>
      <c r="F172" s="23">
        <f>'📱 各班抽查登記表'!F134</f>
        <v>0</v>
      </c>
      <c r="G172" s="24" t="str">
        <f>'📱 各班抽查登記表'!G134</f>
        <v/>
      </c>
      <c r="H172" s="6" t="str">
        <f>'📱 各班抽查登記表'!H134</f>
        <v/>
      </c>
      <c r="I172" s="20">
        <f>'📱 各班抽查登記表'!I134</f>
        <v>0</v>
      </c>
      <c r="J172" s="20">
        <f>'📱 各班抽查登記表'!J134</f>
        <v>0</v>
      </c>
    </row>
    <row r="173" spans="1:10" ht="17">
      <c r="A173" s="6">
        <f>'📱 各班抽查登記表'!A135</f>
        <v>128</v>
      </c>
      <c r="B173" s="6" t="str">
        <f>'📱 各班抽查登記表'!B135</f>
        <v>P4B</v>
      </c>
      <c r="C173" s="6">
        <f>'📱 各班抽查登記表'!C135</f>
        <v>0</v>
      </c>
      <c r="D173" s="6" t="str">
        <f>'📱 各班抽查登記表'!D135</f>
        <v/>
      </c>
      <c r="E173" s="23" t="str">
        <f>'📱 各班抽查登記表'!E135</f>
        <v/>
      </c>
      <c r="F173" s="23">
        <f>'📱 各班抽查登記表'!F135</f>
        <v>0</v>
      </c>
      <c r="G173" s="24" t="str">
        <f>'📱 各班抽查登記表'!G135</f>
        <v/>
      </c>
      <c r="H173" s="6" t="str">
        <f>'📱 各班抽查登記表'!H135</f>
        <v/>
      </c>
      <c r="I173" s="20">
        <f>'📱 各班抽查登記表'!I135</f>
        <v>0</v>
      </c>
      <c r="J173" s="20">
        <f>'📱 各班抽查登記表'!J135</f>
        <v>0</v>
      </c>
    </row>
    <row r="174" spans="1:10" ht="17">
      <c r="A174" s="6">
        <f>'📱 各班抽查登記表'!A136</f>
        <v>129</v>
      </c>
      <c r="B174" s="6" t="str">
        <f>'📱 各班抽查登記表'!B136</f>
        <v>P4B</v>
      </c>
      <c r="C174" s="6">
        <f>'📱 各班抽查登記表'!C136</f>
        <v>0</v>
      </c>
      <c r="D174" s="6" t="str">
        <f>'📱 各班抽查登記表'!D136</f>
        <v/>
      </c>
      <c r="E174" s="23" t="str">
        <f>'📱 各班抽查登記表'!E136</f>
        <v/>
      </c>
      <c r="F174" s="23">
        <f>'📱 各班抽查登記表'!F136</f>
        <v>0</v>
      </c>
      <c r="G174" s="24" t="str">
        <f>'📱 各班抽查登記表'!G136</f>
        <v/>
      </c>
      <c r="H174" s="6" t="str">
        <f>'📱 各班抽查登記表'!H136</f>
        <v/>
      </c>
      <c r="I174" s="20">
        <f>'📱 各班抽查登記表'!I136</f>
        <v>0</v>
      </c>
      <c r="J174" s="20">
        <f>'📱 各班抽查登記表'!J136</f>
        <v>0</v>
      </c>
    </row>
    <row r="175" spans="1:10" ht="17">
      <c r="A175" s="6">
        <f>'📱 各班抽查登記表'!A137</f>
        <v>130</v>
      </c>
      <c r="B175" s="6" t="str">
        <f>'📱 各班抽查登記表'!B137</f>
        <v>P4B</v>
      </c>
      <c r="C175" s="6">
        <f>'📱 各班抽查登記表'!C137</f>
        <v>0</v>
      </c>
      <c r="D175" s="6" t="str">
        <f>'📱 各班抽查登記表'!D137</f>
        <v/>
      </c>
      <c r="E175" s="23" t="str">
        <f>'📱 各班抽查登記表'!E137</f>
        <v/>
      </c>
      <c r="F175" s="23">
        <f>'📱 各班抽查登記表'!F137</f>
        <v>0</v>
      </c>
      <c r="G175" s="24" t="str">
        <f>'📱 各班抽查登記表'!G137</f>
        <v/>
      </c>
      <c r="H175" s="6" t="str">
        <f>'📱 各班抽查登記表'!H137</f>
        <v/>
      </c>
      <c r="I175" s="20">
        <f>'📱 各班抽查登記表'!I137</f>
        <v>0</v>
      </c>
      <c r="J175" s="20">
        <f>'📱 各班抽查登記表'!J137</f>
        <v>0</v>
      </c>
    </row>
    <row r="176" spans="1:10" ht="17">
      <c r="A176" s="6">
        <f>'📱 各班抽查登記表'!A138</f>
        <v>131</v>
      </c>
      <c r="B176" s="6" t="str">
        <f>'📱 各班抽查登記表'!B138</f>
        <v>P4B</v>
      </c>
      <c r="C176" s="6">
        <f>'📱 各班抽查登記表'!C138</f>
        <v>0</v>
      </c>
      <c r="D176" s="6" t="str">
        <f>'📱 各班抽查登記表'!D138</f>
        <v/>
      </c>
      <c r="E176" s="23" t="str">
        <f>'📱 各班抽查登記表'!E138</f>
        <v/>
      </c>
      <c r="F176" s="23">
        <f>'📱 各班抽查登記表'!F138</f>
        <v>0</v>
      </c>
      <c r="G176" s="24" t="str">
        <f>'📱 各班抽查登記表'!G138</f>
        <v/>
      </c>
      <c r="H176" s="6" t="str">
        <f>'📱 各班抽查登記表'!H138</f>
        <v/>
      </c>
      <c r="I176" s="20">
        <f>'📱 各班抽查登記表'!I138</f>
        <v>0</v>
      </c>
      <c r="J176" s="20">
        <f>'📱 各班抽查登記表'!J138</f>
        <v>0</v>
      </c>
    </row>
    <row r="177" spans="1:10" ht="17">
      <c r="A177" s="6">
        <f>'📱 各班抽查登記表'!A139</f>
        <v>132</v>
      </c>
      <c r="B177" s="6" t="str">
        <f>'📱 各班抽查登記表'!B139</f>
        <v>P4B</v>
      </c>
      <c r="C177" s="6">
        <f>'📱 各班抽查登記表'!C139</f>
        <v>0</v>
      </c>
      <c r="D177" s="6" t="str">
        <f>'📱 各班抽查登記表'!D139</f>
        <v/>
      </c>
      <c r="E177" s="23" t="str">
        <f>'📱 各班抽查登記表'!E139</f>
        <v/>
      </c>
      <c r="F177" s="23">
        <f>'📱 各班抽查登記表'!F139</f>
        <v>0</v>
      </c>
      <c r="G177" s="24" t="str">
        <f>'📱 各班抽查登記表'!G139</f>
        <v/>
      </c>
      <c r="H177" s="6" t="str">
        <f>'📱 各班抽查登記表'!H139</f>
        <v/>
      </c>
      <c r="I177" s="20">
        <f>'📱 各班抽查登記表'!I139</f>
        <v>0</v>
      </c>
      <c r="J177" s="20">
        <f>'📱 各班抽查登記表'!J139</f>
        <v>0</v>
      </c>
    </row>
    <row r="178" spans="1:10" ht="17">
      <c r="A178" s="6">
        <f>'📱 各班抽查登記表'!A140</f>
        <v>133</v>
      </c>
      <c r="B178" s="6" t="str">
        <f>'📱 各班抽查登記表'!B140</f>
        <v>P4C</v>
      </c>
      <c r="C178" s="6">
        <f>'📱 各班抽查登記表'!C140</f>
        <v>0</v>
      </c>
      <c r="D178" s="6" t="str">
        <f>'📱 各班抽查登記表'!D140</f>
        <v/>
      </c>
      <c r="E178" s="23" t="str">
        <f>'📱 各班抽查登記表'!E140</f>
        <v/>
      </c>
      <c r="F178" s="23">
        <f>'📱 各班抽查登記表'!F140</f>
        <v>0</v>
      </c>
      <c r="G178" s="24" t="str">
        <f>'📱 各班抽查登記表'!G140</f>
        <v/>
      </c>
      <c r="H178" s="6" t="str">
        <f>'📱 各班抽查登記表'!H140</f>
        <v/>
      </c>
      <c r="I178" s="20">
        <f>'📱 各班抽查登記表'!I140</f>
        <v>0</v>
      </c>
      <c r="J178" s="20">
        <f>'📱 各班抽查登記表'!J140</f>
        <v>0</v>
      </c>
    </row>
    <row r="179" spans="1:10" ht="17">
      <c r="A179" s="6">
        <f>'📱 各班抽查登記表'!A141</f>
        <v>134</v>
      </c>
      <c r="B179" s="6" t="str">
        <f>'📱 各班抽查登記表'!B141</f>
        <v>P4C</v>
      </c>
      <c r="C179" s="6">
        <f>'📱 各班抽查登記表'!C141</f>
        <v>0</v>
      </c>
      <c r="D179" s="6" t="str">
        <f>'📱 各班抽查登記表'!D141</f>
        <v/>
      </c>
      <c r="E179" s="23" t="str">
        <f>'📱 各班抽查登記表'!E141</f>
        <v/>
      </c>
      <c r="F179" s="23">
        <f>'📱 各班抽查登記表'!F141</f>
        <v>0</v>
      </c>
      <c r="G179" s="24" t="str">
        <f>'📱 各班抽查登記表'!G141</f>
        <v/>
      </c>
      <c r="H179" s="6" t="str">
        <f>'📱 各班抽查登記表'!H141</f>
        <v/>
      </c>
      <c r="I179" s="20">
        <f>'📱 各班抽查登記表'!I141</f>
        <v>0</v>
      </c>
      <c r="J179" s="20">
        <f>'📱 各班抽查登記表'!J141</f>
        <v>0</v>
      </c>
    </row>
    <row r="180" spans="1:10" ht="17">
      <c r="A180" s="6">
        <f>'📱 各班抽查登記表'!A142</f>
        <v>135</v>
      </c>
      <c r="B180" s="6" t="str">
        <f>'📱 各班抽查登記表'!B142</f>
        <v>P4C</v>
      </c>
      <c r="C180" s="6">
        <f>'📱 各班抽查登記表'!C142</f>
        <v>0</v>
      </c>
      <c r="D180" s="6" t="str">
        <f>'📱 各班抽查登記表'!D142</f>
        <v/>
      </c>
      <c r="E180" s="23" t="str">
        <f>'📱 各班抽查登記表'!E142</f>
        <v/>
      </c>
      <c r="F180" s="23">
        <f>'📱 各班抽查登記表'!F142</f>
        <v>0</v>
      </c>
      <c r="G180" s="24" t="str">
        <f>'📱 各班抽查登記表'!G142</f>
        <v/>
      </c>
      <c r="H180" s="6" t="str">
        <f>'📱 各班抽查登記表'!H142</f>
        <v/>
      </c>
      <c r="I180" s="20">
        <f>'📱 各班抽查登記表'!I142</f>
        <v>0</v>
      </c>
      <c r="J180" s="20">
        <f>'📱 各班抽查登記表'!J142</f>
        <v>0</v>
      </c>
    </row>
    <row r="181" spans="1:10" ht="17">
      <c r="A181" s="6">
        <f>'📱 各班抽查登記表'!A143</f>
        <v>136</v>
      </c>
      <c r="B181" s="6" t="str">
        <f>'📱 各班抽查登記表'!B143</f>
        <v>P4C</v>
      </c>
      <c r="C181" s="6">
        <f>'📱 各班抽查登記表'!C143</f>
        <v>0</v>
      </c>
      <c r="D181" s="6" t="str">
        <f>'📱 各班抽查登記表'!D143</f>
        <v/>
      </c>
      <c r="E181" s="23" t="str">
        <f>'📱 各班抽查登記表'!E143</f>
        <v/>
      </c>
      <c r="F181" s="23">
        <f>'📱 各班抽查登記表'!F143</f>
        <v>0</v>
      </c>
      <c r="G181" s="24" t="str">
        <f>'📱 各班抽查登記表'!G143</f>
        <v/>
      </c>
      <c r="H181" s="6" t="str">
        <f>'📱 各班抽查登記表'!H143</f>
        <v/>
      </c>
      <c r="I181" s="20">
        <f>'📱 各班抽查登記表'!I143</f>
        <v>0</v>
      </c>
      <c r="J181" s="20">
        <f>'📱 各班抽查登記表'!J143</f>
        <v>0</v>
      </c>
    </row>
    <row r="182" spans="1:10" ht="17">
      <c r="A182" s="6">
        <f>'📱 各班抽查登記表'!A144</f>
        <v>137</v>
      </c>
      <c r="B182" s="6" t="str">
        <f>'📱 各班抽查登記表'!B144</f>
        <v>P4C</v>
      </c>
      <c r="C182" s="6">
        <f>'📱 各班抽查登記表'!C144</f>
        <v>0</v>
      </c>
      <c r="D182" s="6" t="str">
        <f>'📱 各班抽查登記表'!D144</f>
        <v/>
      </c>
      <c r="E182" s="23" t="str">
        <f>'📱 各班抽查登記表'!E144</f>
        <v/>
      </c>
      <c r="F182" s="23">
        <f>'📱 各班抽查登記表'!F144</f>
        <v>0</v>
      </c>
      <c r="G182" s="24" t="str">
        <f>'📱 各班抽查登記表'!G144</f>
        <v/>
      </c>
      <c r="H182" s="6" t="str">
        <f>'📱 各班抽查登記表'!H144</f>
        <v/>
      </c>
      <c r="I182" s="20">
        <f>'📱 各班抽查登記表'!I144</f>
        <v>0</v>
      </c>
      <c r="J182" s="20">
        <f>'📱 各班抽查登記表'!J144</f>
        <v>0</v>
      </c>
    </row>
    <row r="183" spans="1:10" ht="17">
      <c r="A183" s="6">
        <f>'📱 各班抽查登記表'!A145</f>
        <v>138</v>
      </c>
      <c r="B183" s="6" t="str">
        <f>'📱 各班抽查登記表'!B145</f>
        <v>P4C</v>
      </c>
      <c r="C183" s="6">
        <f>'📱 各班抽查登記表'!C145</f>
        <v>0</v>
      </c>
      <c r="D183" s="6" t="str">
        <f>'📱 各班抽查登記表'!D145</f>
        <v/>
      </c>
      <c r="E183" s="23" t="str">
        <f>'📱 各班抽查登記表'!E145</f>
        <v/>
      </c>
      <c r="F183" s="23">
        <f>'📱 各班抽查登記表'!F145</f>
        <v>0</v>
      </c>
      <c r="G183" s="24" t="str">
        <f>'📱 各班抽查登記表'!G145</f>
        <v/>
      </c>
      <c r="H183" s="6" t="str">
        <f>'📱 各班抽查登記表'!H145</f>
        <v/>
      </c>
      <c r="I183" s="20">
        <f>'📱 各班抽查登記表'!I145</f>
        <v>0</v>
      </c>
      <c r="J183" s="20">
        <f>'📱 各班抽查登記表'!J145</f>
        <v>0</v>
      </c>
    </row>
    <row r="184" spans="1:10" ht="17">
      <c r="A184" s="6">
        <f>'📱 各班抽查登記表'!A146</f>
        <v>139</v>
      </c>
      <c r="B184" s="6" t="str">
        <f>'📱 各班抽查登記表'!B146</f>
        <v>P4C</v>
      </c>
      <c r="C184" s="6">
        <f>'📱 各班抽查登記表'!C146</f>
        <v>0</v>
      </c>
      <c r="D184" s="6" t="str">
        <f>'📱 各班抽查登記表'!D146</f>
        <v/>
      </c>
      <c r="E184" s="23" t="str">
        <f>'📱 各班抽查登記表'!E146</f>
        <v/>
      </c>
      <c r="F184" s="23">
        <f>'📱 各班抽查登記表'!F146</f>
        <v>0</v>
      </c>
      <c r="G184" s="24" t="str">
        <f>'📱 各班抽查登記表'!G146</f>
        <v/>
      </c>
      <c r="H184" s="6" t="str">
        <f>'📱 各班抽查登記表'!H146</f>
        <v/>
      </c>
      <c r="I184" s="20">
        <f>'📱 各班抽查登記表'!I146</f>
        <v>0</v>
      </c>
      <c r="J184" s="20">
        <f>'📱 各班抽查登記表'!J146</f>
        <v>0</v>
      </c>
    </row>
    <row r="185" spans="1:10" ht="17">
      <c r="A185" s="6">
        <f>'📱 各班抽查登記表'!A147</f>
        <v>140</v>
      </c>
      <c r="B185" s="6" t="str">
        <f>'📱 各班抽查登記表'!B147</f>
        <v>P4C</v>
      </c>
      <c r="C185" s="6">
        <f>'📱 各班抽查登記表'!C147</f>
        <v>0</v>
      </c>
      <c r="D185" s="6" t="str">
        <f>'📱 各班抽查登記表'!D147</f>
        <v/>
      </c>
      <c r="E185" s="23" t="str">
        <f>'📱 各班抽查登記表'!E147</f>
        <v/>
      </c>
      <c r="F185" s="23">
        <f>'📱 各班抽查登記表'!F147</f>
        <v>0</v>
      </c>
      <c r="G185" s="24" t="str">
        <f>'📱 各班抽查登記表'!G147</f>
        <v/>
      </c>
      <c r="H185" s="6" t="str">
        <f>'📱 各班抽查登記表'!H147</f>
        <v/>
      </c>
      <c r="I185" s="20">
        <f>'📱 各班抽查登記表'!I147</f>
        <v>0</v>
      </c>
      <c r="J185" s="20">
        <f>'📱 各班抽查登記表'!J147</f>
        <v>0</v>
      </c>
    </row>
    <row r="186" spans="1:10" ht="17">
      <c r="A186" s="6">
        <f>'📱 各班抽查登記表'!A148</f>
        <v>141</v>
      </c>
      <c r="B186" s="6" t="str">
        <f>'📱 各班抽查登記表'!B148</f>
        <v>P4C</v>
      </c>
      <c r="C186" s="6">
        <f>'📱 各班抽查登記表'!C148</f>
        <v>0</v>
      </c>
      <c r="D186" s="6" t="str">
        <f>'📱 各班抽查登記表'!D148</f>
        <v/>
      </c>
      <c r="E186" s="23" t="str">
        <f>'📱 各班抽查登記表'!E148</f>
        <v/>
      </c>
      <c r="F186" s="23">
        <f>'📱 各班抽查登記表'!F148</f>
        <v>0</v>
      </c>
      <c r="G186" s="24" t="str">
        <f>'📱 各班抽查登記表'!G148</f>
        <v/>
      </c>
      <c r="H186" s="6" t="str">
        <f>'📱 各班抽查登記表'!H148</f>
        <v/>
      </c>
      <c r="I186" s="20">
        <f>'📱 各班抽查登記表'!I148</f>
        <v>0</v>
      </c>
      <c r="J186" s="20">
        <f>'📱 各班抽查登記表'!J148</f>
        <v>0</v>
      </c>
    </row>
    <row r="187" spans="1:10" ht="17">
      <c r="A187" s="6">
        <f>'📱 各班抽查登記表'!A149</f>
        <v>142</v>
      </c>
      <c r="B187" s="6" t="str">
        <f>'📱 各班抽查登記表'!B149</f>
        <v>P4C</v>
      </c>
      <c r="C187" s="6">
        <f>'📱 各班抽查登記表'!C149</f>
        <v>0</v>
      </c>
      <c r="D187" s="6" t="str">
        <f>'📱 各班抽查登記表'!D149</f>
        <v/>
      </c>
      <c r="E187" s="23" t="str">
        <f>'📱 各班抽查登記表'!E149</f>
        <v/>
      </c>
      <c r="F187" s="23">
        <f>'📱 各班抽查登記表'!F149</f>
        <v>0</v>
      </c>
      <c r="G187" s="24" t="str">
        <f>'📱 各班抽查登記表'!G149</f>
        <v/>
      </c>
      <c r="H187" s="6" t="str">
        <f>'📱 各班抽查登記表'!H149</f>
        <v/>
      </c>
      <c r="I187" s="20">
        <f>'📱 各班抽查登記表'!I149</f>
        <v>0</v>
      </c>
      <c r="J187" s="20">
        <f>'📱 各班抽查登記表'!J149</f>
        <v>0</v>
      </c>
    </row>
    <row r="188" spans="1:10" ht="17">
      <c r="A188" s="6">
        <f>'📱 各班抽查登記表'!A150</f>
        <v>143</v>
      </c>
      <c r="B188" s="6" t="str">
        <f>'📱 各班抽查登記表'!B150</f>
        <v>P4C</v>
      </c>
      <c r="C188" s="6">
        <f>'📱 各班抽查登記表'!C150</f>
        <v>0</v>
      </c>
      <c r="D188" s="6" t="str">
        <f>'📱 各班抽查登記表'!D150</f>
        <v/>
      </c>
      <c r="E188" s="23" t="str">
        <f>'📱 各班抽查登記表'!E150</f>
        <v/>
      </c>
      <c r="F188" s="23">
        <f>'📱 各班抽查登記表'!F150</f>
        <v>0</v>
      </c>
      <c r="G188" s="24" t="str">
        <f>'📱 各班抽查登記表'!G150</f>
        <v/>
      </c>
      <c r="H188" s="6" t="str">
        <f>'📱 各班抽查登記表'!H150</f>
        <v/>
      </c>
      <c r="I188" s="20">
        <f>'📱 各班抽查登記表'!I150</f>
        <v>0</v>
      </c>
      <c r="J188" s="20">
        <f>'📱 各班抽查登記表'!J150</f>
        <v>0</v>
      </c>
    </row>
    <row r="189" spans="1:10" ht="17">
      <c r="A189" s="6">
        <f>'📱 各班抽查登記表'!A151</f>
        <v>144</v>
      </c>
      <c r="B189" s="6" t="str">
        <f>'📱 各班抽查登記表'!B151</f>
        <v>P5A</v>
      </c>
      <c r="C189" s="6">
        <f>'📱 各班抽查登記表'!C151</f>
        <v>0</v>
      </c>
      <c r="D189" s="6" t="str">
        <f>'📱 各班抽查登記表'!D151</f>
        <v/>
      </c>
      <c r="E189" s="23" t="str">
        <f>'📱 各班抽查登記表'!E151</f>
        <v/>
      </c>
      <c r="F189" s="23">
        <f>'📱 各班抽查登記表'!F151</f>
        <v>0</v>
      </c>
      <c r="G189" s="24" t="str">
        <f>'📱 各班抽查登記表'!G151</f>
        <v/>
      </c>
      <c r="H189" s="6" t="str">
        <f>'📱 各班抽查登記表'!H151</f>
        <v/>
      </c>
      <c r="I189" s="20">
        <f>'📱 各班抽查登記表'!I151</f>
        <v>0</v>
      </c>
      <c r="J189" s="20">
        <f>'📱 各班抽查登記表'!J151</f>
        <v>0</v>
      </c>
    </row>
    <row r="190" spans="1:10" ht="17">
      <c r="A190" s="6">
        <f>'📱 各班抽查登記表'!A152</f>
        <v>145</v>
      </c>
      <c r="B190" s="6" t="str">
        <f>'📱 各班抽查登記表'!B152</f>
        <v>P5A</v>
      </c>
      <c r="C190" s="6">
        <f>'📱 各班抽查登記表'!C152</f>
        <v>0</v>
      </c>
      <c r="D190" s="6" t="str">
        <f>'📱 各班抽查登記表'!D152</f>
        <v/>
      </c>
      <c r="E190" s="23" t="str">
        <f>'📱 各班抽查登記表'!E152</f>
        <v/>
      </c>
      <c r="F190" s="23">
        <f>'📱 各班抽查登記表'!F152</f>
        <v>0</v>
      </c>
      <c r="G190" s="24" t="str">
        <f>'📱 各班抽查登記表'!G152</f>
        <v/>
      </c>
      <c r="H190" s="6" t="str">
        <f>'📱 各班抽查登記表'!H152</f>
        <v/>
      </c>
      <c r="I190" s="20">
        <f>'📱 各班抽查登記表'!I152</f>
        <v>0</v>
      </c>
      <c r="J190" s="20">
        <f>'📱 各班抽查登記表'!J152</f>
        <v>0</v>
      </c>
    </row>
    <row r="191" spans="1:10" ht="17">
      <c r="A191" s="6">
        <f>'📱 各班抽查登記表'!A153</f>
        <v>146</v>
      </c>
      <c r="B191" s="6" t="str">
        <f>'📱 各班抽查登記表'!B153</f>
        <v>P5A</v>
      </c>
      <c r="C191" s="6">
        <f>'📱 各班抽查登記表'!C153</f>
        <v>0</v>
      </c>
      <c r="D191" s="6" t="str">
        <f>'📱 各班抽查登記表'!D153</f>
        <v/>
      </c>
      <c r="E191" s="23" t="str">
        <f>'📱 各班抽查登記表'!E153</f>
        <v/>
      </c>
      <c r="F191" s="23">
        <f>'📱 各班抽查登記表'!F153</f>
        <v>0</v>
      </c>
      <c r="G191" s="24" t="str">
        <f>'📱 各班抽查登記表'!G153</f>
        <v/>
      </c>
      <c r="H191" s="6" t="str">
        <f>'📱 各班抽查登記表'!H153</f>
        <v/>
      </c>
      <c r="I191" s="20">
        <f>'📱 各班抽查登記表'!I153</f>
        <v>0</v>
      </c>
      <c r="J191" s="20">
        <f>'📱 各班抽查登記表'!J153</f>
        <v>0</v>
      </c>
    </row>
    <row r="192" spans="1:10" ht="17">
      <c r="A192" s="6">
        <f>'📱 各班抽查登記表'!A154</f>
        <v>147</v>
      </c>
      <c r="B192" s="6" t="str">
        <f>'📱 各班抽查登記表'!B154</f>
        <v>P5A</v>
      </c>
      <c r="C192" s="6">
        <f>'📱 各班抽查登記表'!C154</f>
        <v>0</v>
      </c>
      <c r="D192" s="6" t="str">
        <f>'📱 各班抽查登記表'!D154</f>
        <v/>
      </c>
      <c r="E192" s="23" t="str">
        <f>'📱 各班抽查登記表'!E154</f>
        <v/>
      </c>
      <c r="F192" s="23">
        <f>'📱 各班抽查登記表'!F154</f>
        <v>0</v>
      </c>
      <c r="G192" s="24" t="str">
        <f>'📱 各班抽查登記表'!G154</f>
        <v/>
      </c>
      <c r="H192" s="6" t="str">
        <f>'📱 各班抽查登記表'!H154</f>
        <v/>
      </c>
      <c r="I192" s="20">
        <f>'📱 各班抽查登記表'!I154</f>
        <v>0</v>
      </c>
      <c r="J192" s="20">
        <f>'📱 各班抽查登記表'!J154</f>
        <v>0</v>
      </c>
    </row>
    <row r="193" spans="1:10" ht="17">
      <c r="A193" s="6">
        <f>'📱 各班抽查登記表'!A155</f>
        <v>148</v>
      </c>
      <c r="B193" s="6" t="str">
        <f>'📱 各班抽查登記表'!B155</f>
        <v>P5A</v>
      </c>
      <c r="C193" s="6">
        <f>'📱 各班抽查登記表'!C155</f>
        <v>0</v>
      </c>
      <c r="D193" s="6" t="str">
        <f>'📱 各班抽查登記表'!D155</f>
        <v/>
      </c>
      <c r="E193" s="23" t="str">
        <f>'📱 各班抽查登記表'!E155</f>
        <v/>
      </c>
      <c r="F193" s="23">
        <f>'📱 各班抽查登記表'!F155</f>
        <v>0</v>
      </c>
      <c r="G193" s="24" t="str">
        <f>'📱 各班抽查登記表'!G155</f>
        <v/>
      </c>
      <c r="H193" s="6" t="str">
        <f>'📱 各班抽查登記表'!H155</f>
        <v/>
      </c>
      <c r="I193" s="20">
        <f>'📱 各班抽查登記表'!I155</f>
        <v>0</v>
      </c>
      <c r="J193" s="20">
        <f>'📱 各班抽查登記表'!J155</f>
        <v>0</v>
      </c>
    </row>
    <row r="194" spans="1:10" ht="17">
      <c r="A194" s="6">
        <f>'📱 各班抽查登記表'!A156</f>
        <v>149</v>
      </c>
      <c r="B194" s="6" t="str">
        <f>'📱 各班抽查登記表'!B156</f>
        <v>P5A</v>
      </c>
      <c r="C194" s="6">
        <f>'📱 各班抽查登記表'!C156</f>
        <v>0</v>
      </c>
      <c r="D194" s="6" t="str">
        <f>'📱 各班抽查登記表'!D156</f>
        <v/>
      </c>
      <c r="E194" s="23" t="str">
        <f>'📱 各班抽查登記表'!E156</f>
        <v/>
      </c>
      <c r="F194" s="23">
        <f>'📱 各班抽查登記表'!F156</f>
        <v>0</v>
      </c>
      <c r="G194" s="24" t="str">
        <f>'📱 各班抽查登記表'!G156</f>
        <v/>
      </c>
      <c r="H194" s="6" t="str">
        <f>'📱 各班抽查登記表'!H156</f>
        <v/>
      </c>
      <c r="I194" s="20">
        <f>'📱 各班抽查登記表'!I156</f>
        <v>0</v>
      </c>
      <c r="J194" s="20">
        <f>'📱 各班抽查登記表'!J156</f>
        <v>0</v>
      </c>
    </row>
    <row r="195" spans="1:10" ht="17">
      <c r="A195" s="6">
        <f>'📱 各班抽查登記表'!A157</f>
        <v>150</v>
      </c>
      <c r="B195" s="6" t="str">
        <f>'📱 各班抽查登記表'!B157</f>
        <v>P5A</v>
      </c>
      <c r="C195" s="6">
        <f>'📱 各班抽查登記表'!C157</f>
        <v>0</v>
      </c>
      <c r="D195" s="6" t="str">
        <f>'📱 各班抽查登記表'!D157</f>
        <v/>
      </c>
      <c r="E195" s="23" t="str">
        <f>'📱 各班抽查登記表'!E157</f>
        <v/>
      </c>
      <c r="F195" s="23">
        <f>'📱 各班抽查登記表'!F157</f>
        <v>0</v>
      </c>
      <c r="G195" s="24" t="str">
        <f>'📱 各班抽查登記表'!G157</f>
        <v/>
      </c>
      <c r="H195" s="6" t="str">
        <f>'📱 各班抽查登記表'!H157</f>
        <v/>
      </c>
      <c r="I195" s="20">
        <f>'📱 各班抽查登記表'!I157</f>
        <v>0</v>
      </c>
      <c r="J195" s="20">
        <f>'📱 各班抽查登記表'!J157</f>
        <v>0</v>
      </c>
    </row>
    <row r="196" spans="1:10" ht="17">
      <c r="A196" s="6">
        <f>'📱 各班抽查登記表'!A158</f>
        <v>151</v>
      </c>
      <c r="B196" s="6" t="str">
        <f>'📱 各班抽查登記表'!B158</f>
        <v>P5A</v>
      </c>
      <c r="C196" s="6">
        <f>'📱 各班抽查登記表'!C158</f>
        <v>0</v>
      </c>
      <c r="D196" s="6" t="str">
        <f>'📱 各班抽查登記表'!D158</f>
        <v/>
      </c>
      <c r="E196" s="23" t="str">
        <f>'📱 各班抽查登記表'!E158</f>
        <v/>
      </c>
      <c r="F196" s="23">
        <f>'📱 各班抽查登記表'!F158</f>
        <v>0</v>
      </c>
      <c r="G196" s="24" t="str">
        <f>'📱 各班抽查登記表'!G158</f>
        <v/>
      </c>
      <c r="H196" s="6" t="str">
        <f>'📱 各班抽查登記表'!H158</f>
        <v/>
      </c>
      <c r="I196" s="20">
        <f>'📱 各班抽查登記表'!I158</f>
        <v>0</v>
      </c>
      <c r="J196" s="20">
        <f>'📱 各班抽查登記表'!J158</f>
        <v>0</v>
      </c>
    </row>
    <row r="197" spans="1:10" ht="17">
      <c r="A197" s="6">
        <f>'📱 各班抽查登記表'!A159</f>
        <v>152</v>
      </c>
      <c r="B197" s="6" t="str">
        <f>'📱 各班抽查登記表'!B159</f>
        <v>P5A</v>
      </c>
      <c r="C197" s="6">
        <f>'📱 各班抽查登記表'!C159</f>
        <v>0</v>
      </c>
      <c r="D197" s="6" t="str">
        <f>'📱 各班抽查登記表'!D159</f>
        <v/>
      </c>
      <c r="E197" s="23" t="str">
        <f>'📱 各班抽查登記表'!E159</f>
        <v/>
      </c>
      <c r="F197" s="23">
        <f>'📱 各班抽查登記表'!F159</f>
        <v>0</v>
      </c>
      <c r="G197" s="24" t="str">
        <f>'📱 各班抽查登記表'!G159</f>
        <v/>
      </c>
      <c r="H197" s="6" t="str">
        <f>'📱 各班抽查登記表'!H159</f>
        <v/>
      </c>
      <c r="I197" s="20">
        <f>'📱 各班抽查登記表'!I159</f>
        <v>0</v>
      </c>
      <c r="J197" s="20">
        <f>'📱 各班抽查登記表'!J159</f>
        <v>0</v>
      </c>
    </row>
    <row r="198" spans="1:10" ht="17">
      <c r="A198" s="6">
        <f>'📱 各班抽查登記表'!A160</f>
        <v>153</v>
      </c>
      <c r="B198" s="6" t="str">
        <f>'📱 各班抽查登記表'!B160</f>
        <v>P5A</v>
      </c>
      <c r="C198" s="6">
        <f>'📱 各班抽查登記表'!C160</f>
        <v>0</v>
      </c>
      <c r="D198" s="6" t="str">
        <f>'📱 各班抽查登記表'!D160</f>
        <v/>
      </c>
      <c r="E198" s="23" t="str">
        <f>'📱 各班抽查登記表'!E160</f>
        <v/>
      </c>
      <c r="F198" s="23">
        <f>'📱 各班抽查登記表'!F160</f>
        <v>0</v>
      </c>
      <c r="G198" s="24" t="str">
        <f>'📱 各班抽查登記表'!G160</f>
        <v/>
      </c>
      <c r="H198" s="6" t="str">
        <f>'📱 各班抽查登記表'!H160</f>
        <v/>
      </c>
      <c r="I198" s="20">
        <f>'📱 各班抽查登記表'!I160</f>
        <v>0</v>
      </c>
      <c r="J198" s="20">
        <f>'📱 各班抽查登記表'!J160</f>
        <v>0</v>
      </c>
    </row>
    <row r="199" spans="1:10" ht="17">
      <c r="A199" s="6">
        <f>'📱 各班抽查登記表'!A161</f>
        <v>154</v>
      </c>
      <c r="B199" s="6" t="str">
        <f>'📱 各班抽查登記表'!B161</f>
        <v>P5A</v>
      </c>
      <c r="C199" s="6">
        <f>'📱 各班抽查登記表'!C161</f>
        <v>0</v>
      </c>
      <c r="D199" s="6" t="str">
        <f>'📱 各班抽查登記表'!D161</f>
        <v/>
      </c>
      <c r="E199" s="23" t="str">
        <f>'📱 各班抽查登記表'!E161</f>
        <v/>
      </c>
      <c r="F199" s="23">
        <f>'📱 各班抽查登記表'!F161</f>
        <v>0</v>
      </c>
      <c r="G199" s="24" t="str">
        <f>'📱 各班抽查登記表'!G161</f>
        <v/>
      </c>
      <c r="H199" s="6" t="str">
        <f>'📱 各班抽查登記表'!H161</f>
        <v/>
      </c>
      <c r="I199" s="20">
        <f>'📱 各班抽查登記表'!I161</f>
        <v>0</v>
      </c>
      <c r="J199" s="20">
        <f>'📱 各班抽查登記表'!J161</f>
        <v>0</v>
      </c>
    </row>
    <row r="200" spans="1:10" ht="17">
      <c r="A200" s="6">
        <f>'📱 各班抽查登記表'!A162</f>
        <v>155</v>
      </c>
      <c r="B200" s="6" t="str">
        <f>'📱 各班抽查登記表'!B162</f>
        <v>P5B</v>
      </c>
      <c r="C200" s="6">
        <f>'📱 各班抽查登記表'!C162</f>
        <v>0</v>
      </c>
      <c r="D200" s="6" t="str">
        <f>'📱 各班抽查登記表'!D162</f>
        <v/>
      </c>
      <c r="E200" s="23" t="str">
        <f>'📱 各班抽查登記表'!E162</f>
        <v/>
      </c>
      <c r="F200" s="23">
        <f>'📱 各班抽查登記表'!F162</f>
        <v>0</v>
      </c>
      <c r="G200" s="24" t="str">
        <f>'📱 各班抽查登記表'!G162</f>
        <v/>
      </c>
      <c r="H200" s="6" t="str">
        <f>'📱 各班抽查登記表'!H162</f>
        <v/>
      </c>
      <c r="I200" s="20">
        <f>'📱 各班抽查登記表'!I162</f>
        <v>0</v>
      </c>
      <c r="J200" s="20">
        <f>'📱 各班抽查登記表'!J162</f>
        <v>0</v>
      </c>
    </row>
    <row r="201" spans="1:10" ht="17">
      <c r="A201" s="6">
        <f>'📱 各班抽查登記表'!A163</f>
        <v>156</v>
      </c>
      <c r="B201" s="6" t="str">
        <f>'📱 各班抽查登記表'!B163</f>
        <v>P5B</v>
      </c>
      <c r="C201" s="6">
        <f>'📱 各班抽查登記表'!C163</f>
        <v>0</v>
      </c>
      <c r="D201" s="6" t="str">
        <f>'📱 各班抽查登記表'!D163</f>
        <v/>
      </c>
      <c r="E201" s="23" t="str">
        <f>'📱 各班抽查登記表'!E163</f>
        <v/>
      </c>
      <c r="F201" s="23">
        <f>'📱 各班抽查登記表'!F163</f>
        <v>0</v>
      </c>
      <c r="G201" s="24" t="str">
        <f>'📱 各班抽查登記表'!G163</f>
        <v/>
      </c>
      <c r="H201" s="6" t="str">
        <f>'📱 各班抽查登記表'!H163</f>
        <v/>
      </c>
      <c r="I201" s="20">
        <f>'📱 各班抽查登記表'!I163</f>
        <v>0</v>
      </c>
      <c r="J201" s="20">
        <f>'📱 各班抽查登記表'!J163</f>
        <v>0</v>
      </c>
    </row>
    <row r="202" spans="1:10" ht="17">
      <c r="A202" s="6">
        <f>'📱 各班抽查登記表'!A164</f>
        <v>157</v>
      </c>
      <c r="B202" s="6" t="str">
        <f>'📱 各班抽查登記表'!B164</f>
        <v>P5B</v>
      </c>
      <c r="C202" s="6">
        <f>'📱 各班抽查登記表'!C164</f>
        <v>0</v>
      </c>
      <c r="D202" s="6" t="str">
        <f>'📱 各班抽查登記表'!D164</f>
        <v/>
      </c>
      <c r="E202" s="23" t="str">
        <f>'📱 各班抽查登記表'!E164</f>
        <v/>
      </c>
      <c r="F202" s="23">
        <f>'📱 各班抽查登記表'!F164</f>
        <v>0</v>
      </c>
      <c r="G202" s="24" t="str">
        <f>'📱 各班抽查登記表'!G164</f>
        <v/>
      </c>
      <c r="H202" s="6" t="str">
        <f>'📱 各班抽查登記表'!H164</f>
        <v/>
      </c>
      <c r="I202" s="20">
        <f>'📱 各班抽查登記表'!I164</f>
        <v>0</v>
      </c>
      <c r="J202" s="20">
        <f>'📱 各班抽查登記表'!J164</f>
        <v>0</v>
      </c>
    </row>
    <row r="203" spans="1:10" ht="17">
      <c r="A203" s="6">
        <f>'📱 各班抽查登記表'!A165</f>
        <v>158</v>
      </c>
      <c r="B203" s="6" t="str">
        <f>'📱 各班抽查登記表'!B165</f>
        <v>P5B</v>
      </c>
      <c r="C203" s="6">
        <f>'📱 各班抽查登記表'!C165</f>
        <v>0</v>
      </c>
      <c r="D203" s="6" t="str">
        <f>'📱 各班抽查登記表'!D165</f>
        <v/>
      </c>
      <c r="E203" s="23" t="str">
        <f>'📱 各班抽查登記表'!E165</f>
        <v/>
      </c>
      <c r="F203" s="23">
        <f>'📱 各班抽查登記表'!F165</f>
        <v>0</v>
      </c>
      <c r="G203" s="24" t="str">
        <f>'📱 各班抽查登記表'!G165</f>
        <v/>
      </c>
      <c r="H203" s="6" t="str">
        <f>'📱 各班抽查登記表'!H165</f>
        <v/>
      </c>
      <c r="I203" s="20">
        <f>'📱 各班抽查登記表'!I165</f>
        <v>0</v>
      </c>
      <c r="J203" s="20">
        <f>'📱 各班抽查登記表'!J165</f>
        <v>0</v>
      </c>
    </row>
    <row r="204" spans="1:10" ht="17">
      <c r="A204" s="6">
        <f>'📱 各班抽查登記表'!A166</f>
        <v>159</v>
      </c>
      <c r="B204" s="6" t="str">
        <f>'📱 各班抽查登記表'!B166</f>
        <v>P5B</v>
      </c>
      <c r="C204" s="6">
        <f>'📱 各班抽查登記表'!C166</f>
        <v>0</v>
      </c>
      <c r="D204" s="6" t="str">
        <f>'📱 各班抽查登記表'!D166</f>
        <v/>
      </c>
      <c r="E204" s="23" t="str">
        <f>'📱 各班抽查登記表'!E166</f>
        <v/>
      </c>
      <c r="F204" s="23">
        <f>'📱 各班抽查登記表'!F166</f>
        <v>0</v>
      </c>
      <c r="G204" s="24" t="str">
        <f>'📱 各班抽查登記表'!G166</f>
        <v/>
      </c>
      <c r="H204" s="6" t="str">
        <f>'📱 各班抽查登記表'!H166</f>
        <v/>
      </c>
      <c r="I204" s="20">
        <f>'📱 各班抽查登記表'!I166</f>
        <v>0</v>
      </c>
      <c r="J204" s="20">
        <f>'📱 各班抽查登記表'!J166</f>
        <v>0</v>
      </c>
    </row>
    <row r="205" spans="1:10" ht="17">
      <c r="A205" s="6">
        <f>'📱 各班抽查登記表'!A167</f>
        <v>160</v>
      </c>
      <c r="B205" s="6" t="str">
        <f>'📱 各班抽查登記表'!B167</f>
        <v>P5B</v>
      </c>
      <c r="C205" s="6">
        <f>'📱 各班抽查登記表'!C167</f>
        <v>0</v>
      </c>
      <c r="D205" s="6" t="str">
        <f>'📱 各班抽查登記表'!D167</f>
        <v/>
      </c>
      <c r="E205" s="23" t="str">
        <f>'📱 各班抽查登記表'!E167</f>
        <v/>
      </c>
      <c r="F205" s="23">
        <f>'📱 各班抽查登記表'!F167</f>
        <v>0</v>
      </c>
      <c r="G205" s="24" t="str">
        <f>'📱 各班抽查登記表'!G167</f>
        <v/>
      </c>
      <c r="H205" s="6" t="str">
        <f>'📱 各班抽查登記表'!H167</f>
        <v/>
      </c>
      <c r="I205" s="20">
        <f>'📱 各班抽查登記表'!I167</f>
        <v>0</v>
      </c>
      <c r="J205" s="20">
        <f>'📱 各班抽查登記表'!J167</f>
        <v>0</v>
      </c>
    </row>
    <row r="206" spans="1:10" ht="17">
      <c r="A206" s="6">
        <f>'📱 各班抽查登記表'!A168</f>
        <v>161</v>
      </c>
      <c r="B206" s="6" t="str">
        <f>'📱 各班抽查登記表'!B168</f>
        <v>P5B</v>
      </c>
      <c r="C206" s="6">
        <f>'📱 各班抽查登記表'!C168</f>
        <v>0</v>
      </c>
      <c r="D206" s="6" t="str">
        <f>'📱 各班抽查登記表'!D168</f>
        <v/>
      </c>
      <c r="E206" s="23" t="str">
        <f>'📱 各班抽查登記表'!E168</f>
        <v/>
      </c>
      <c r="F206" s="23">
        <f>'📱 各班抽查登記表'!F168</f>
        <v>0</v>
      </c>
      <c r="G206" s="24" t="str">
        <f>'📱 各班抽查登記表'!G168</f>
        <v/>
      </c>
      <c r="H206" s="6" t="str">
        <f>'📱 各班抽查登記表'!H168</f>
        <v/>
      </c>
      <c r="I206" s="20">
        <f>'📱 各班抽查登記表'!I168</f>
        <v>0</v>
      </c>
      <c r="J206" s="20">
        <f>'📱 各班抽查登記表'!J168</f>
        <v>0</v>
      </c>
    </row>
    <row r="207" spans="1:10" ht="17">
      <c r="A207" s="6">
        <f>'📱 各班抽查登記表'!A169</f>
        <v>162</v>
      </c>
      <c r="B207" s="6" t="str">
        <f>'📱 各班抽查登記表'!B169</f>
        <v>P5B</v>
      </c>
      <c r="C207" s="6">
        <f>'📱 各班抽查登記表'!C169</f>
        <v>0</v>
      </c>
      <c r="D207" s="6" t="str">
        <f>'📱 各班抽查登記表'!D169</f>
        <v/>
      </c>
      <c r="E207" s="23" t="str">
        <f>'📱 各班抽查登記表'!E169</f>
        <v/>
      </c>
      <c r="F207" s="23">
        <f>'📱 各班抽查登記表'!F169</f>
        <v>0</v>
      </c>
      <c r="G207" s="24" t="str">
        <f>'📱 各班抽查登記表'!G169</f>
        <v/>
      </c>
      <c r="H207" s="6" t="str">
        <f>'📱 各班抽查登記表'!H169</f>
        <v/>
      </c>
      <c r="I207" s="20">
        <f>'📱 各班抽查登記表'!I169</f>
        <v>0</v>
      </c>
      <c r="J207" s="20">
        <f>'📱 各班抽查登記表'!J169</f>
        <v>0</v>
      </c>
    </row>
    <row r="208" spans="1:10" ht="17">
      <c r="A208" s="6">
        <f>'📱 各班抽查登記表'!A170</f>
        <v>163</v>
      </c>
      <c r="B208" s="6" t="str">
        <f>'📱 各班抽查登記表'!B170</f>
        <v>P5B</v>
      </c>
      <c r="C208" s="6">
        <f>'📱 各班抽查登記表'!C170</f>
        <v>0</v>
      </c>
      <c r="D208" s="6" t="str">
        <f>'📱 各班抽查登記表'!D170</f>
        <v/>
      </c>
      <c r="E208" s="23" t="str">
        <f>'📱 各班抽查登記表'!E170</f>
        <v/>
      </c>
      <c r="F208" s="23">
        <f>'📱 各班抽查登記表'!F170</f>
        <v>0</v>
      </c>
      <c r="G208" s="24" t="str">
        <f>'📱 各班抽查登記表'!G170</f>
        <v/>
      </c>
      <c r="H208" s="6" t="str">
        <f>'📱 各班抽查登記表'!H170</f>
        <v/>
      </c>
      <c r="I208" s="20">
        <f>'📱 各班抽查登記表'!I170</f>
        <v>0</v>
      </c>
      <c r="J208" s="20">
        <f>'📱 各班抽查登記表'!J170</f>
        <v>0</v>
      </c>
    </row>
    <row r="209" spans="1:10" ht="17">
      <c r="A209" s="6">
        <f>'📱 各班抽查登記表'!A171</f>
        <v>164</v>
      </c>
      <c r="B209" s="6" t="str">
        <f>'📱 各班抽查登記表'!B171</f>
        <v>P5B</v>
      </c>
      <c r="C209" s="6">
        <f>'📱 各班抽查登記表'!C171</f>
        <v>0</v>
      </c>
      <c r="D209" s="6" t="str">
        <f>'📱 各班抽查登記表'!D171</f>
        <v/>
      </c>
      <c r="E209" s="23" t="str">
        <f>'📱 各班抽查登記表'!E171</f>
        <v/>
      </c>
      <c r="F209" s="23">
        <f>'📱 各班抽查登記表'!F171</f>
        <v>0</v>
      </c>
      <c r="G209" s="24" t="str">
        <f>'📱 各班抽查登記表'!G171</f>
        <v/>
      </c>
      <c r="H209" s="6" t="str">
        <f>'📱 各班抽查登記表'!H171</f>
        <v/>
      </c>
      <c r="I209" s="20">
        <f>'📱 各班抽查登記表'!I171</f>
        <v>0</v>
      </c>
      <c r="J209" s="20">
        <f>'📱 各班抽查登記表'!J171</f>
        <v>0</v>
      </c>
    </row>
    <row r="210" spans="1:10" ht="17">
      <c r="A210" s="6">
        <f>'📱 各班抽查登記表'!A172</f>
        <v>165</v>
      </c>
      <c r="B210" s="6" t="str">
        <f>'📱 各班抽查登記表'!B172</f>
        <v>P5B</v>
      </c>
      <c r="C210" s="6">
        <f>'📱 各班抽查登記表'!C172</f>
        <v>0</v>
      </c>
      <c r="D210" s="6" t="str">
        <f>'📱 各班抽查登記表'!D172</f>
        <v/>
      </c>
      <c r="E210" s="23" t="str">
        <f>'📱 各班抽查登記表'!E172</f>
        <v/>
      </c>
      <c r="F210" s="23">
        <f>'📱 各班抽查登記表'!F172</f>
        <v>0</v>
      </c>
      <c r="G210" s="24" t="str">
        <f>'📱 各班抽查登記表'!G172</f>
        <v/>
      </c>
      <c r="H210" s="6" t="str">
        <f>'📱 各班抽查登記表'!H172</f>
        <v/>
      </c>
      <c r="I210" s="20">
        <f>'📱 各班抽查登記表'!I172</f>
        <v>0</v>
      </c>
      <c r="J210" s="20">
        <f>'📱 各班抽查登記表'!J172</f>
        <v>0</v>
      </c>
    </row>
    <row r="211" spans="1:10" ht="17">
      <c r="A211" s="6">
        <f>'📱 各班抽查登記表'!A173</f>
        <v>166</v>
      </c>
      <c r="B211" s="6" t="str">
        <f>'📱 各班抽查登記表'!B173</f>
        <v>P5C</v>
      </c>
      <c r="C211" s="6">
        <f>'📱 各班抽查登記表'!C173</f>
        <v>0</v>
      </c>
      <c r="D211" s="6" t="str">
        <f>'📱 各班抽查登記表'!D173</f>
        <v/>
      </c>
      <c r="E211" s="23" t="str">
        <f>'📱 各班抽查登記表'!E173</f>
        <v/>
      </c>
      <c r="F211" s="23">
        <f>'📱 各班抽查登記表'!F173</f>
        <v>0</v>
      </c>
      <c r="G211" s="24" t="str">
        <f>'📱 各班抽查登記表'!G173</f>
        <v/>
      </c>
      <c r="H211" s="6" t="str">
        <f>'📱 各班抽查登記表'!H173</f>
        <v/>
      </c>
      <c r="I211" s="20">
        <f>'📱 各班抽查登記表'!I173</f>
        <v>0</v>
      </c>
      <c r="J211" s="20">
        <f>'📱 各班抽查登記表'!J173</f>
        <v>0</v>
      </c>
    </row>
    <row r="212" spans="1:10" ht="17">
      <c r="A212" s="6">
        <f>'📱 各班抽查登記表'!A174</f>
        <v>167</v>
      </c>
      <c r="B212" s="6" t="str">
        <f>'📱 各班抽查登記表'!B174</f>
        <v>P5C</v>
      </c>
      <c r="C212" s="6">
        <f>'📱 各班抽查登記表'!C174</f>
        <v>0</v>
      </c>
      <c r="D212" s="6" t="str">
        <f>'📱 各班抽查登記表'!D174</f>
        <v/>
      </c>
      <c r="E212" s="23" t="str">
        <f>'📱 各班抽查登記表'!E174</f>
        <v/>
      </c>
      <c r="F212" s="23">
        <f>'📱 各班抽查登記表'!F174</f>
        <v>0</v>
      </c>
      <c r="G212" s="24" t="str">
        <f>'📱 各班抽查登記表'!G174</f>
        <v/>
      </c>
      <c r="H212" s="6" t="str">
        <f>'📱 各班抽查登記表'!H174</f>
        <v/>
      </c>
      <c r="I212" s="20">
        <f>'📱 各班抽查登記表'!I174</f>
        <v>0</v>
      </c>
      <c r="J212" s="20">
        <f>'📱 各班抽查登記表'!J174</f>
        <v>0</v>
      </c>
    </row>
    <row r="213" spans="1:10" ht="17">
      <c r="A213" s="6">
        <f>'📱 各班抽查登記表'!A175</f>
        <v>168</v>
      </c>
      <c r="B213" s="6" t="str">
        <f>'📱 各班抽查登記表'!B175</f>
        <v>P5C</v>
      </c>
      <c r="C213" s="6">
        <f>'📱 各班抽查登記表'!C175</f>
        <v>0</v>
      </c>
      <c r="D213" s="6" t="str">
        <f>'📱 各班抽查登記表'!D175</f>
        <v/>
      </c>
      <c r="E213" s="23" t="str">
        <f>'📱 各班抽查登記表'!E175</f>
        <v/>
      </c>
      <c r="F213" s="23">
        <f>'📱 各班抽查登記表'!F175</f>
        <v>0</v>
      </c>
      <c r="G213" s="24" t="str">
        <f>'📱 各班抽查登記表'!G175</f>
        <v/>
      </c>
      <c r="H213" s="6" t="str">
        <f>'📱 各班抽查登記表'!H175</f>
        <v/>
      </c>
      <c r="I213" s="20">
        <f>'📱 各班抽查登記表'!I175</f>
        <v>0</v>
      </c>
      <c r="J213" s="20">
        <f>'📱 各班抽查登記表'!J175</f>
        <v>0</v>
      </c>
    </row>
    <row r="214" spans="1:10" ht="17">
      <c r="A214" s="6">
        <f>'📱 各班抽查登記表'!A176</f>
        <v>169</v>
      </c>
      <c r="B214" s="6" t="str">
        <f>'📱 各班抽查登記表'!B176</f>
        <v>P5C</v>
      </c>
      <c r="C214" s="6">
        <f>'📱 各班抽查登記表'!C176</f>
        <v>0</v>
      </c>
      <c r="D214" s="6" t="str">
        <f>'📱 各班抽查登記表'!D176</f>
        <v/>
      </c>
      <c r="E214" s="23" t="str">
        <f>'📱 各班抽查登記表'!E176</f>
        <v/>
      </c>
      <c r="F214" s="23">
        <f>'📱 各班抽查登記表'!F176</f>
        <v>0</v>
      </c>
      <c r="G214" s="24" t="str">
        <f>'📱 各班抽查登記表'!G176</f>
        <v/>
      </c>
      <c r="H214" s="6" t="str">
        <f>'📱 各班抽查登記表'!H176</f>
        <v/>
      </c>
      <c r="I214" s="20">
        <f>'📱 各班抽查登記表'!I176</f>
        <v>0</v>
      </c>
      <c r="J214" s="20">
        <f>'📱 各班抽查登記表'!J176</f>
        <v>0</v>
      </c>
    </row>
    <row r="215" spans="1:10" ht="17">
      <c r="A215" s="6">
        <f>'📱 各班抽查登記表'!A177</f>
        <v>170</v>
      </c>
      <c r="B215" s="6" t="str">
        <f>'📱 各班抽查登記表'!B177</f>
        <v>P5C</v>
      </c>
      <c r="C215" s="6">
        <f>'📱 各班抽查登記表'!C177</f>
        <v>0</v>
      </c>
      <c r="D215" s="6" t="str">
        <f>'📱 各班抽查登記表'!D177</f>
        <v/>
      </c>
      <c r="E215" s="23" t="str">
        <f>'📱 各班抽查登記表'!E177</f>
        <v/>
      </c>
      <c r="F215" s="23">
        <f>'📱 各班抽查登記表'!F177</f>
        <v>0</v>
      </c>
      <c r="G215" s="24" t="str">
        <f>'📱 各班抽查登記表'!G177</f>
        <v/>
      </c>
      <c r="H215" s="6" t="str">
        <f>'📱 各班抽查登記表'!H177</f>
        <v/>
      </c>
      <c r="I215" s="20">
        <f>'📱 各班抽查登記表'!I177</f>
        <v>0</v>
      </c>
      <c r="J215" s="20">
        <f>'📱 各班抽查登記表'!J177</f>
        <v>0</v>
      </c>
    </row>
    <row r="216" spans="1:10" ht="17">
      <c r="A216" s="6">
        <f>'📱 各班抽查登記表'!A178</f>
        <v>171</v>
      </c>
      <c r="B216" s="6" t="str">
        <f>'📱 各班抽查登記表'!B178</f>
        <v>P5C</v>
      </c>
      <c r="C216" s="6">
        <f>'📱 各班抽查登記表'!C178</f>
        <v>0</v>
      </c>
      <c r="D216" s="6" t="str">
        <f>'📱 各班抽查登記表'!D178</f>
        <v/>
      </c>
      <c r="E216" s="23" t="str">
        <f>'📱 各班抽查登記表'!E178</f>
        <v/>
      </c>
      <c r="F216" s="23">
        <f>'📱 各班抽查登記表'!F178</f>
        <v>0</v>
      </c>
      <c r="G216" s="24" t="str">
        <f>'📱 各班抽查登記表'!G178</f>
        <v/>
      </c>
      <c r="H216" s="6" t="str">
        <f>'📱 各班抽查登記表'!H178</f>
        <v/>
      </c>
      <c r="I216" s="20">
        <f>'📱 各班抽查登記表'!I178</f>
        <v>0</v>
      </c>
      <c r="J216" s="20">
        <f>'📱 各班抽查登記表'!J178</f>
        <v>0</v>
      </c>
    </row>
    <row r="217" spans="1:10" ht="17">
      <c r="A217" s="6">
        <f>'📱 各班抽查登記表'!A179</f>
        <v>172</v>
      </c>
      <c r="B217" s="6" t="str">
        <f>'📱 各班抽查登記表'!B179</f>
        <v>P5C</v>
      </c>
      <c r="C217" s="6">
        <f>'📱 各班抽查登記表'!C179</f>
        <v>0</v>
      </c>
      <c r="D217" s="6" t="str">
        <f>'📱 各班抽查登記表'!D179</f>
        <v/>
      </c>
      <c r="E217" s="23" t="str">
        <f>'📱 各班抽查登記表'!E179</f>
        <v/>
      </c>
      <c r="F217" s="23">
        <f>'📱 各班抽查登記表'!F179</f>
        <v>0</v>
      </c>
      <c r="G217" s="24" t="str">
        <f>'📱 各班抽查登記表'!G179</f>
        <v/>
      </c>
      <c r="H217" s="6" t="str">
        <f>'📱 各班抽查登記表'!H179</f>
        <v/>
      </c>
      <c r="I217" s="20">
        <f>'📱 各班抽查登記表'!I179</f>
        <v>0</v>
      </c>
      <c r="J217" s="20">
        <f>'📱 各班抽查登記表'!J179</f>
        <v>0</v>
      </c>
    </row>
    <row r="218" spans="1:10" ht="17">
      <c r="A218" s="6">
        <f>'📱 各班抽查登記表'!A180</f>
        <v>173</v>
      </c>
      <c r="B218" s="6" t="str">
        <f>'📱 各班抽查登記表'!B180</f>
        <v>P5C</v>
      </c>
      <c r="C218" s="6">
        <f>'📱 各班抽查登記表'!C180</f>
        <v>0</v>
      </c>
      <c r="D218" s="6" t="str">
        <f>'📱 各班抽查登記表'!D180</f>
        <v/>
      </c>
      <c r="E218" s="23" t="str">
        <f>'📱 各班抽查登記表'!E180</f>
        <v/>
      </c>
      <c r="F218" s="23">
        <f>'📱 各班抽查登記表'!F180</f>
        <v>0</v>
      </c>
      <c r="G218" s="24" t="str">
        <f>'📱 各班抽查登記表'!G180</f>
        <v/>
      </c>
      <c r="H218" s="6" t="str">
        <f>'📱 各班抽查登記表'!H180</f>
        <v/>
      </c>
      <c r="I218" s="20">
        <f>'📱 各班抽查登記表'!I180</f>
        <v>0</v>
      </c>
      <c r="J218" s="20">
        <f>'📱 各班抽查登記表'!J180</f>
        <v>0</v>
      </c>
    </row>
    <row r="219" spans="1:10" ht="17">
      <c r="A219" s="6">
        <f>'📱 各班抽查登記表'!A181</f>
        <v>174</v>
      </c>
      <c r="B219" s="6" t="str">
        <f>'📱 各班抽查登記表'!B181</f>
        <v>P5C</v>
      </c>
      <c r="C219" s="6">
        <f>'📱 各班抽查登記表'!C181</f>
        <v>0</v>
      </c>
      <c r="D219" s="6" t="str">
        <f>'📱 各班抽查登記表'!D181</f>
        <v/>
      </c>
      <c r="E219" s="23" t="str">
        <f>'📱 各班抽查登記表'!E181</f>
        <v/>
      </c>
      <c r="F219" s="23">
        <f>'📱 各班抽查登記表'!F181</f>
        <v>0</v>
      </c>
      <c r="G219" s="24" t="str">
        <f>'📱 各班抽查登記表'!G181</f>
        <v/>
      </c>
      <c r="H219" s="6" t="str">
        <f>'📱 各班抽查登記表'!H181</f>
        <v/>
      </c>
      <c r="I219" s="20">
        <f>'📱 各班抽查登記表'!I181</f>
        <v>0</v>
      </c>
      <c r="J219" s="20">
        <f>'📱 各班抽查登記表'!J181</f>
        <v>0</v>
      </c>
    </row>
    <row r="220" spans="1:10" ht="17">
      <c r="A220" s="6">
        <f>'📱 各班抽查登記表'!A182</f>
        <v>175</v>
      </c>
      <c r="B220" s="6" t="str">
        <f>'📱 各班抽查登記表'!B182</f>
        <v>P5C</v>
      </c>
      <c r="C220" s="6">
        <f>'📱 各班抽查登記表'!C182</f>
        <v>0</v>
      </c>
      <c r="D220" s="6" t="str">
        <f>'📱 各班抽查登記表'!D182</f>
        <v/>
      </c>
      <c r="E220" s="23" t="str">
        <f>'📱 各班抽查登記表'!E182</f>
        <v/>
      </c>
      <c r="F220" s="23">
        <f>'📱 各班抽查登記表'!F182</f>
        <v>0</v>
      </c>
      <c r="G220" s="24" t="str">
        <f>'📱 各班抽查登記表'!G182</f>
        <v/>
      </c>
      <c r="H220" s="6" t="str">
        <f>'📱 各班抽查登記表'!H182</f>
        <v/>
      </c>
      <c r="I220" s="20">
        <f>'📱 各班抽查登記表'!I182</f>
        <v>0</v>
      </c>
      <c r="J220" s="20">
        <f>'📱 各班抽查登記表'!J182</f>
        <v>0</v>
      </c>
    </row>
    <row r="221" spans="1:10" ht="17">
      <c r="A221" s="6">
        <f>'📱 各班抽查登記表'!A183</f>
        <v>176</v>
      </c>
      <c r="B221" s="6" t="str">
        <f>'📱 各班抽查登記表'!B183</f>
        <v>P5C</v>
      </c>
      <c r="C221" s="6">
        <f>'📱 各班抽查登記表'!C183</f>
        <v>0</v>
      </c>
      <c r="D221" s="6" t="str">
        <f>'📱 各班抽查登記表'!D183</f>
        <v/>
      </c>
      <c r="E221" s="23" t="str">
        <f>'📱 各班抽查登記表'!E183</f>
        <v/>
      </c>
      <c r="F221" s="23">
        <f>'📱 各班抽查登記表'!F183</f>
        <v>0</v>
      </c>
      <c r="G221" s="24" t="str">
        <f>'📱 各班抽查登記表'!G183</f>
        <v/>
      </c>
      <c r="H221" s="6" t="str">
        <f>'📱 各班抽查登記表'!H183</f>
        <v/>
      </c>
      <c r="I221" s="20">
        <f>'📱 各班抽查登記表'!I183</f>
        <v>0</v>
      </c>
      <c r="J221" s="20">
        <f>'📱 各班抽查登記表'!J183</f>
        <v>0</v>
      </c>
    </row>
    <row r="222" spans="1:10" ht="17">
      <c r="A222" s="6">
        <f>'📱 各班抽查登記表'!A184</f>
        <v>177</v>
      </c>
      <c r="B222" s="6" t="str">
        <f>'📱 各班抽查登記表'!B184</f>
        <v>P6A</v>
      </c>
      <c r="C222" s="6">
        <f>'📱 各班抽查登記表'!C184</f>
        <v>0</v>
      </c>
      <c r="D222" s="6" t="str">
        <f>'📱 各班抽查登記表'!D184</f>
        <v/>
      </c>
      <c r="E222" s="23" t="str">
        <f>'📱 各班抽查登記表'!E184</f>
        <v/>
      </c>
      <c r="F222" s="23">
        <f>'📱 各班抽查登記表'!F184</f>
        <v>0</v>
      </c>
      <c r="G222" s="24" t="str">
        <f>'📱 各班抽查登記表'!G184</f>
        <v/>
      </c>
      <c r="H222" s="6" t="str">
        <f>'📱 各班抽查登記表'!H184</f>
        <v/>
      </c>
      <c r="I222" s="20">
        <f>'📱 各班抽查登記表'!I184</f>
        <v>0</v>
      </c>
      <c r="J222" s="20">
        <f>'📱 各班抽查登記表'!J184</f>
        <v>0</v>
      </c>
    </row>
    <row r="223" spans="1:10" ht="17">
      <c r="A223" s="6">
        <f>'📱 各班抽查登記表'!A185</f>
        <v>178</v>
      </c>
      <c r="B223" s="6" t="str">
        <f>'📱 各班抽查登記表'!B185</f>
        <v>P6A</v>
      </c>
      <c r="C223" s="6">
        <f>'📱 各班抽查登記表'!C185</f>
        <v>0</v>
      </c>
      <c r="D223" s="6" t="str">
        <f>'📱 各班抽查登記表'!D185</f>
        <v/>
      </c>
      <c r="E223" s="23" t="str">
        <f>'📱 各班抽查登記表'!E185</f>
        <v/>
      </c>
      <c r="F223" s="23">
        <f>'📱 各班抽查登記表'!F185</f>
        <v>0</v>
      </c>
      <c r="G223" s="24" t="str">
        <f>'📱 各班抽查登記表'!G185</f>
        <v/>
      </c>
      <c r="H223" s="6" t="str">
        <f>'📱 各班抽查登記表'!H185</f>
        <v/>
      </c>
      <c r="I223" s="20">
        <f>'📱 各班抽查登記表'!I185</f>
        <v>0</v>
      </c>
      <c r="J223" s="20">
        <f>'📱 各班抽查登記表'!J185</f>
        <v>0</v>
      </c>
    </row>
    <row r="224" spans="1:10" ht="17">
      <c r="A224" s="6">
        <f>'📱 各班抽查登記表'!A186</f>
        <v>179</v>
      </c>
      <c r="B224" s="6" t="str">
        <f>'📱 各班抽查登記表'!B186</f>
        <v>P6A</v>
      </c>
      <c r="C224" s="6">
        <f>'📱 各班抽查登記表'!C186</f>
        <v>0</v>
      </c>
      <c r="D224" s="6" t="str">
        <f>'📱 各班抽查登記表'!D186</f>
        <v/>
      </c>
      <c r="E224" s="23" t="str">
        <f>'📱 各班抽查登記表'!E186</f>
        <v/>
      </c>
      <c r="F224" s="23">
        <f>'📱 各班抽查登記表'!F186</f>
        <v>0</v>
      </c>
      <c r="G224" s="24" t="str">
        <f>'📱 各班抽查登記表'!G186</f>
        <v/>
      </c>
      <c r="H224" s="6" t="str">
        <f>'📱 各班抽查登記表'!H186</f>
        <v/>
      </c>
      <c r="I224" s="20">
        <f>'📱 各班抽查登記表'!I186</f>
        <v>0</v>
      </c>
      <c r="J224" s="20">
        <f>'📱 各班抽查登記表'!J186</f>
        <v>0</v>
      </c>
    </row>
    <row r="225" spans="1:10" ht="17">
      <c r="A225" s="6">
        <f>'📱 各班抽查登記表'!A187</f>
        <v>180</v>
      </c>
      <c r="B225" s="6" t="str">
        <f>'📱 各班抽查登記表'!B187</f>
        <v>P6A</v>
      </c>
      <c r="C225" s="6">
        <f>'📱 各班抽查登記表'!C187</f>
        <v>0</v>
      </c>
      <c r="D225" s="6" t="str">
        <f>'📱 各班抽查登記表'!D187</f>
        <v/>
      </c>
      <c r="E225" s="23" t="str">
        <f>'📱 各班抽查登記表'!E187</f>
        <v/>
      </c>
      <c r="F225" s="23">
        <f>'📱 各班抽查登記表'!F187</f>
        <v>0</v>
      </c>
      <c r="G225" s="24" t="str">
        <f>'📱 各班抽查登記表'!G187</f>
        <v/>
      </c>
      <c r="H225" s="6" t="str">
        <f>'📱 各班抽查登記表'!H187</f>
        <v/>
      </c>
      <c r="I225" s="20">
        <f>'📱 各班抽查登記表'!I187</f>
        <v>0</v>
      </c>
      <c r="J225" s="20">
        <f>'📱 各班抽查登記表'!J187</f>
        <v>0</v>
      </c>
    </row>
    <row r="226" spans="1:10" ht="17">
      <c r="A226" s="6">
        <f>'📱 各班抽查登記表'!A188</f>
        <v>181</v>
      </c>
      <c r="B226" s="6" t="str">
        <f>'📱 各班抽查登記表'!B188</f>
        <v>P6A</v>
      </c>
      <c r="C226" s="6">
        <f>'📱 各班抽查登記表'!C188</f>
        <v>0</v>
      </c>
      <c r="D226" s="6" t="str">
        <f>'📱 各班抽查登記表'!D188</f>
        <v/>
      </c>
      <c r="E226" s="23" t="str">
        <f>'📱 各班抽查登記表'!E188</f>
        <v/>
      </c>
      <c r="F226" s="23">
        <f>'📱 各班抽查登記表'!F188</f>
        <v>0</v>
      </c>
      <c r="G226" s="24" t="str">
        <f>'📱 各班抽查登記表'!G188</f>
        <v/>
      </c>
      <c r="H226" s="6" t="str">
        <f>'📱 各班抽查登記表'!H188</f>
        <v/>
      </c>
      <c r="I226" s="20">
        <f>'📱 各班抽查登記表'!I188</f>
        <v>0</v>
      </c>
      <c r="J226" s="20">
        <f>'📱 各班抽查登記表'!J188</f>
        <v>0</v>
      </c>
    </row>
    <row r="227" spans="1:10" ht="17">
      <c r="A227" s="6">
        <f>'📱 各班抽查登記表'!A189</f>
        <v>182</v>
      </c>
      <c r="B227" s="6" t="str">
        <f>'📱 各班抽查登記表'!B189</f>
        <v>P6A</v>
      </c>
      <c r="C227" s="6">
        <f>'📱 各班抽查登記表'!C189</f>
        <v>0</v>
      </c>
      <c r="D227" s="6" t="str">
        <f>'📱 各班抽查登記表'!D189</f>
        <v/>
      </c>
      <c r="E227" s="23" t="str">
        <f>'📱 各班抽查登記表'!E189</f>
        <v/>
      </c>
      <c r="F227" s="23">
        <f>'📱 各班抽查登記表'!F189</f>
        <v>0</v>
      </c>
      <c r="G227" s="24" t="str">
        <f>'📱 各班抽查登記表'!G189</f>
        <v/>
      </c>
      <c r="H227" s="6" t="str">
        <f>'📱 各班抽查登記表'!H189</f>
        <v/>
      </c>
      <c r="I227" s="20">
        <f>'📱 各班抽查登記表'!I189</f>
        <v>0</v>
      </c>
      <c r="J227" s="20">
        <f>'📱 各班抽查登記表'!J189</f>
        <v>0</v>
      </c>
    </row>
    <row r="228" spans="1:10" ht="17">
      <c r="A228" s="6">
        <f>'📱 各班抽查登記表'!A190</f>
        <v>183</v>
      </c>
      <c r="B228" s="6" t="str">
        <f>'📱 各班抽查登記表'!B190</f>
        <v>P6A</v>
      </c>
      <c r="C228" s="6">
        <f>'📱 各班抽查登記表'!C190</f>
        <v>0</v>
      </c>
      <c r="D228" s="6" t="str">
        <f>'📱 各班抽查登記表'!D190</f>
        <v/>
      </c>
      <c r="E228" s="23" t="str">
        <f>'📱 各班抽查登記表'!E190</f>
        <v/>
      </c>
      <c r="F228" s="23">
        <f>'📱 各班抽查登記表'!F190</f>
        <v>0</v>
      </c>
      <c r="G228" s="24" t="str">
        <f>'📱 各班抽查登記表'!G190</f>
        <v/>
      </c>
      <c r="H228" s="6" t="str">
        <f>'📱 各班抽查登記表'!H190</f>
        <v/>
      </c>
      <c r="I228" s="20">
        <f>'📱 各班抽查登記表'!I190</f>
        <v>0</v>
      </c>
      <c r="J228" s="20">
        <f>'📱 各班抽查登記表'!J190</f>
        <v>0</v>
      </c>
    </row>
    <row r="229" spans="1:10" ht="17">
      <c r="A229" s="6">
        <f>'📱 各班抽查登記表'!A191</f>
        <v>184</v>
      </c>
      <c r="B229" s="6" t="str">
        <f>'📱 各班抽查登記表'!B191</f>
        <v>P6A</v>
      </c>
      <c r="C229" s="6">
        <f>'📱 各班抽查登記表'!C191</f>
        <v>0</v>
      </c>
      <c r="D229" s="6" t="str">
        <f>'📱 各班抽查登記表'!D191</f>
        <v/>
      </c>
      <c r="E229" s="23" t="str">
        <f>'📱 各班抽查登記表'!E191</f>
        <v/>
      </c>
      <c r="F229" s="23">
        <f>'📱 各班抽查登記表'!F191</f>
        <v>0</v>
      </c>
      <c r="G229" s="24" t="str">
        <f>'📱 各班抽查登記表'!G191</f>
        <v/>
      </c>
      <c r="H229" s="6" t="str">
        <f>'📱 各班抽查登記表'!H191</f>
        <v/>
      </c>
      <c r="I229" s="20">
        <f>'📱 各班抽查登記表'!I191</f>
        <v>0</v>
      </c>
      <c r="J229" s="20">
        <f>'📱 各班抽查登記表'!J191</f>
        <v>0</v>
      </c>
    </row>
    <row r="230" spans="1:10" ht="17">
      <c r="A230" s="6">
        <f>'📱 各班抽查登記表'!A192</f>
        <v>185</v>
      </c>
      <c r="B230" s="6" t="str">
        <f>'📱 各班抽查登記表'!B192</f>
        <v>P6A</v>
      </c>
      <c r="C230" s="6">
        <f>'📱 各班抽查登記表'!C192</f>
        <v>0</v>
      </c>
      <c r="D230" s="6" t="str">
        <f>'📱 各班抽查登記表'!D192</f>
        <v/>
      </c>
      <c r="E230" s="23" t="str">
        <f>'📱 各班抽查登記表'!E192</f>
        <v/>
      </c>
      <c r="F230" s="23">
        <f>'📱 各班抽查登記表'!F192</f>
        <v>0</v>
      </c>
      <c r="G230" s="24" t="str">
        <f>'📱 各班抽查登記表'!G192</f>
        <v/>
      </c>
      <c r="H230" s="6" t="str">
        <f>'📱 各班抽查登記表'!H192</f>
        <v/>
      </c>
      <c r="I230" s="20">
        <f>'📱 各班抽查登記表'!I192</f>
        <v>0</v>
      </c>
      <c r="J230" s="20">
        <f>'📱 各班抽查登記表'!J192</f>
        <v>0</v>
      </c>
    </row>
    <row r="231" spans="1:10" ht="17">
      <c r="A231" s="6">
        <f>'📱 各班抽查登記表'!A193</f>
        <v>186</v>
      </c>
      <c r="B231" s="6" t="str">
        <f>'📱 各班抽查登記表'!B193</f>
        <v>P6A</v>
      </c>
      <c r="C231" s="6">
        <f>'📱 各班抽查登記表'!C193</f>
        <v>0</v>
      </c>
      <c r="D231" s="6" t="str">
        <f>'📱 各班抽查登記表'!D193</f>
        <v/>
      </c>
      <c r="E231" s="23" t="str">
        <f>'📱 各班抽查登記表'!E193</f>
        <v/>
      </c>
      <c r="F231" s="23">
        <f>'📱 各班抽查登記表'!F193</f>
        <v>0</v>
      </c>
      <c r="G231" s="24" t="str">
        <f>'📱 各班抽查登記表'!G193</f>
        <v/>
      </c>
      <c r="H231" s="6" t="str">
        <f>'📱 各班抽查登記表'!H193</f>
        <v/>
      </c>
      <c r="I231" s="20">
        <f>'📱 各班抽查登記表'!I193</f>
        <v>0</v>
      </c>
      <c r="J231" s="20">
        <f>'📱 各班抽查登記表'!J193</f>
        <v>0</v>
      </c>
    </row>
    <row r="232" spans="1:10" ht="17">
      <c r="A232" s="6">
        <f>'📱 各班抽查登記表'!A194</f>
        <v>187</v>
      </c>
      <c r="B232" s="6" t="str">
        <f>'📱 各班抽查登記表'!B194</f>
        <v>P6A</v>
      </c>
      <c r="C232" s="6">
        <f>'📱 各班抽查登記表'!C194</f>
        <v>0</v>
      </c>
      <c r="D232" s="6" t="str">
        <f>'📱 各班抽查登記表'!D194</f>
        <v/>
      </c>
      <c r="E232" s="23" t="str">
        <f>'📱 各班抽查登記表'!E194</f>
        <v/>
      </c>
      <c r="F232" s="23">
        <f>'📱 各班抽查登記表'!F194</f>
        <v>0</v>
      </c>
      <c r="G232" s="24" t="str">
        <f>'📱 各班抽查登記表'!G194</f>
        <v/>
      </c>
      <c r="H232" s="6" t="str">
        <f>'📱 各班抽查登記表'!H194</f>
        <v/>
      </c>
      <c r="I232" s="20">
        <f>'📱 各班抽查登記表'!I194</f>
        <v>0</v>
      </c>
      <c r="J232" s="20">
        <f>'📱 各班抽查登記表'!J194</f>
        <v>0</v>
      </c>
    </row>
    <row r="233" spans="1:10" ht="17">
      <c r="A233" s="6">
        <f>'📱 各班抽查登記表'!A195</f>
        <v>188</v>
      </c>
      <c r="B233" s="6" t="str">
        <f>'📱 各班抽查登記表'!B195</f>
        <v>P6B</v>
      </c>
      <c r="C233" s="6">
        <f>'📱 各班抽查登記表'!C195</f>
        <v>0</v>
      </c>
      <c r="D233" s="6" t="str">
        <f>'📱 各班抽查登記表'!D195</f>
        <v/>
      </c>
      <c r="E233" s="23" t="str">
        <f>'📱 各班抽查登記表'!E195</f>
        <v/>
      </c>
      <c r="F233" s="23">
        <f>'📱 各班抽查登記表'!F195</f>
        <v>0</v>
      </c>
      <c r="G233" s="24" t="str">
        <f>'📱 各班抽查登記表'!G195</f>
        <v/>
      </c>
      <c r="H233" s="6" t="str">
        <f>'📱 各班抽查登記表'!H195</f>
        <v/>
      </c>
      <c r="I233" s="20">
        <f>'📱 各班抽查登記表'!I195</f>
        <v>0</v>
      </c>
      <c r="J233" s="20">
        <f>'📱 各班抽查登記表'!J195</f>
        <v>0</v>
      </c>
    </row>
    <row r="234" spans="1:10" ht="17">
      <c r="A234" s="6">
        <f>'📱 各班抽查登記表'!A196</f>
        <v>189</v>
      </c>
      <c r="B234" s="6" t="str">
        <f>'📱 各班抽查登記表'!B196</f>
        <v>P6B</v>
      </c>
      <c r="C234" s="6">
        <f>'📱 各班抽查登記表'!C196</f>
        <v>0</v>
      </c>
      <c r="D234" s="6" t="str">
        <f>'📱 各班抽查登記表'!D196</f>
        <v/>
      </c>
      <c r="E234" s="23" t="str">
        <f>'📱 各班抽查登記表'!E196</f>
        <v/>
      </c>
      <c r="F234" s="23">
        <f>'📱 各班抽查登記表'!F196</f>
        <v>0</v>
      </c>
      <c r="G234" s="24" t="str">
        <f>'📱 各班抽查登記表'!G196</f>
        <v/>
      </c>
      <c r="H234" s="6" t="str">
        <f>'📱 各班抽查登記表'!H196</f>
        <v/>
      </c>
      <c r="I234" s="20">
        <f>'📱 各班抽查登記表'!I196</f>
        <v>0</v>
      </c>
      <c r="J234" s="20">
        <f>'📱 各班抽查登記表'!J196</f>
        <v>0</v>
      </c>
    </row>
    <row r="235" spans="1:10" ht="17">
      <c r="A235" s="6">
        <f>'📱 各班抽查登記表'!A197</f>
        <v>190</v>
      </c>
      <c r="B235" s="6" t="str">
        <f>'📱 各班抽查登記表'!B197</f>
        <v>P6B</v>
      </c>
      <c r="C235" s="6">
        <f>'📱 各班抽查登記表'!C197</f>
        <v>0</v>
      </c>
      <c r="D235" s="6" t="str">
        <f>'📱 各班抽查登記表'!D197</f>
        <v/>
      </c>
      <c r="E235" s="23" t="str">
        <f>'📱 各班抽查登記表'!E197</f>
        <v/>
      </c>
      <c r="F235" s="23">
        <f>'📱 各班抽查登記表'!F197</f>
        <v>0</v>
      </c>
      <c r="G235" s="24" t="str">
        <f>'📱 各班抽查登記表'!G197</f>
        <v/>
      </c>
      <c r="H235" s="6" t="str">
        <f>'📱 各班抽查登記表'!H197</f>
        <v/>
      </c>
      <c r="I235" s="20">
        <f>'📱 各班抽查登記表'!I197</f>
        <v>0</v>
      </c>
      <c r="J235" s="20">
        <f>'📱 各班抽查登記表'!J197</f>
        <v>0</v>
      </c>
    </row>
    <row r="236" spans="1:10" ht="17">
      <c r="A236" s="6">
        <f>'📱 各班抽查登記表'!A198</f>
        <v>191</v>
      </c>
      <c r="B236" s="6" t="str">
        <f>'📱 各班抽查登記表'!B198</f>
        <v>P6B</v>
      </c>
      <c r="C236" s="6">
        <f>'📱 各班抽查登記表'!C198</f>
        <v>0</v>
      </c>
      <c r="D236" s="6" t="str">
        <f>'📱 各班抽查登記表'!D198</f>
        <v/>
      </c>
      <c r="E236" s="23" t="str">
        <f>'📱 各班抽查登記表'!E198</f>
        <v/>
      </c>
      <c r="F236" s="23">
        <f>'📱 各班抽查登記表'!F198</f>
        <v>0</v>
      </c>
      <c r="G236" s="24" t="str">
        <f>'📱 各班抽查登記表'!G198</f>
        <v/>
      </c>
      <c r="H236" s="6" t="str">
        <f>'📱 各班抽查登記表'!H198</f>
        <v/>
      </c>
      <c r="I236" s="20">
        <f>'📱 各班抽查登記表'!I198</f>
        <v>0</v>
      </c>
      <c r="J236" s="20">
        <f>'📱 各班抽查登記表'!J198</f>
        <v>0</v>
      </c>
    </row>
    <row r="237" spans="1:10" ht="17">
      <c r="A237" s="6">
        <f>'📱 各班抽查登記表'!A199</f>
        <v>192</v>
      </c>
      <c r="B237" s="6" t="str">
        <f>'📱 各班抽查登記表'!B199</f>
        <v>P6B</v>
      </c>
      <c r="C237" s="6">
        <f>'📱 各班抽查登記表'!C199</f>
        <v>0</v>
      </c>
      <c r="D237" s="6" t="str">
        <f>'📱 各班抽查登記表'!D199</f>
        <v/>
      </c>
      <c r="E237" s="23" t="str">
        <f>'📱 各班抽查登記表'!E199</f>
        <v/>
      </c>
      <c r="F237" s="23">
        <f>'📱 各班抽查登記表'!F199</f>
        <v>0</v>
      </c>
      <c r="G237" s="24" t="str">
        <f>'📱 各班抽查登記表'!G199</f>
        <v/>
      </c>
      <c r="H237" s="6" t="str">
        <f>'📱 各班抽查登記表'!H199</f>
        <v/>
      </c>
      <c r="I237" s="20">
        <f>'📱 各班抽查登記表'!I199</f>
        <v>0</v>
      </c>
      <c r="J237" s="20">
        <f>'📱 各班抽查登記表'!J199</f>
        <v>0</v>
      </c>
    </row>
    <row r="238" spans="1:10" ht="17">
      <c r="A238" s="6">
        <f>'📱 各班抽查登記表'!A200</f>
        <v>193</v>
      </c>
      <c r="B238" s="6" t="str">
        <f>'📱 各班抽查登記表'!B200</f>
        <v>P6B</v>
      </c>
      <c r="C238" s="6">
        <f>'📱 各班抽查登記表'!C200</f>
        <v>0</v>
      </c>
      <c r="D238" s="6" t="str">
        <f>'📱 各班抽查登記表'!D200</f>
        <v/>
      </c>
      <c r="E238" s="23" t="str">
        <f>'📱 各班抽查登記表'!E200</f>
        <v/>
      </c>
      <c r="F238" s="23">
        <f>'📱 各班抽查登記表'!F200</f>
        <v>0</v>
      </c>
      <c r="G238" s="24" t="str">
        <f>'📱 各班抽查登記表'!G200</f>
        <v/>
      </c>
      <c r="H238" s="6" t="str">
        <f>'📱 各班抽查登記表'!H200</f>
        <v/>
      </c>
      <c r="I238" s="20">
        <f>'📱 各班抽查登記表'!I200</f>
        <v>0</v>
      </c>
      <c r="J238" s="20">
        <f>'📱 各班抽查登記表'!J200</f>
        <v>0</v>
      </c>
    </row>
    <row r="239" spans="1:10" ht="17">
      <c r="A239" s="6">
        <f>'📱 各班抽查登記表'!A201</f>
        <v>194</v>
      </c>
      <c r="B239" s="6" t="str">
        <f>'📱 各班抽查登記表'!B201</f>
        <v>P6B</v>
      </c>
      <c r="C239" s="6">
        <f>'📱 各班抽查登記表'!C201</f>
        <v>0</v>
      </c>
      <c r="D239" s="6" t="str">
        <f>'📱 各班抽查登記表'!D201</f>
        <v/>
      </c>
      <c r="E239" s="23" t="str">
        <f>'📱 各班抽查登記表'!E201</f>
        <v/>
      </c>
      <c r="F239" s="23">
        <f>'📱 各班抽查登記表'!F201</f>
        <v>0</v>
      </c>
      <c r="G239" s="24" t="str">
        <f>'📱 各班抽查登記表'!G201</f>
        <v/>
      </c>
      <c r="H239" s="6" t="str">
        <f>'📱 各班抽查登記表'!H201</f>
        <v/>
      </c>
      <c r="I239" s="20">
        <f>'📱 各班抽查登記表'!I201</f>
        <v>0</v>
      </c>
      <c r="J239" s="20">
        <f>'📱 各班抽查登記表'!J201</f>
        <v>0</v>
      </c>
    </row>
    <row r="240" spans="1:10" ht="17">
      <c r="A240" s="6">
        <f>'📱 各班抽查登記表'!A202</f>
        <v>195</v>
      </c>
      <c r="B240" s="6" t="str">
        <f>'📱 各班抽查登記表'!B202</f>
        <v>P6B</v>
      </c>
      <c r="C240" s="6">
        <f>'📱 各班抽查登記表'!C202</f>
        <v>0</v>
      </c>
      <c r="D240" s="6" t="str">
        <f>'📱 各班抽查登記表'!D202</f>
        <v/>
      </c>
      <c r="E240" s="23" t="str">
        <f>'📱 各班抽查登記表'!E202</f>
        <v/>
      </c>
      <c r="F240" s="23">
        <f>'📱 各班抽查登記表'!F202</f>
        <v>0</v>
      </c>
      <c r="G240" s="24" t="str">
        <f>'📱 各班抽查登記表'!G202</f>
        <v/>
      </c>
      <c r="H240" s="6" t="str">
        <f>'📱 各班抽查登記表'!H202</f>
        <v/>
      </c>
      <c r="I240" s="20">
        <f>'📱 各班抽查登記表'!I202</f>
        <v>0</v>
      </c>
      <c r="J240" s="20">
        <f>'📱 各班抽查登記表'!J202</f>
        <v>0</v>
      </c>
    </row>
    <row r="241" spans="1:10" ht="17">
      <c r="A241" s="6">
        <f>'📱 各班抽查登記表'!A203</f>
        <v>196</v>
      </c>
      <c r="B241" s="6" t="str">
        <f>'📱 各班抽查登記表'!B203</f>
        <v>P6B</v>
      </c>
      <c r="C241" s="6">
        <f>'📱 各班抽查登記表'!C203</f>
        <v>0</v>
      </c>
      <c r="D241" s="6" t="str">
        <f>'📱 各班抽查登記表'!D203</f>
        <v/>
      </c>
      <c r="E241" s="23" t="str">
        <f>'📱 各班抽查登記表'!E203</f>
        <v/>
      </c>
      <c r="F241" s="23">
        <f>'📱 各班抽查登記表'!F203</f>
        <v>0</v>
      </c>
      <c r="G241" s="24" t="str">
        <f>'📱 各班抽查登記表'!G203</f>
        <v/>
      </c>
      <c r="H241" s="6" t="str">
        <f>'📱 各班抽查登記表'!H203</f>
        <v/>
      </c>
      <c r="I241" s="20">
        <f>'📱 各班抽查登記表'!I203</f>
        <v>0</v>
      </c>
      <c r="J241" s="20">
        <f>'📱 各班抽查登記表'!J203</f>
        <v>0</v>
      </c>
    </row>
    <row r="242" spans="1:10" ht="17">
      <c r="A242" s="6">
        <f>'📱 各班抽查登記表'!A204</f>
        <v>197</v>
      </c>
      <c r="B242" s="6" t="str">
        <f>'📱 各班抽查登記表'!B204</f>
        <v>P6B</v>
      </c>
      <c r="C242" s="6">
        <f>'📱 各班抽查登記表'!C204</f>
        <v>0</v>
      </c>
      <c r="D242" s="6" t="str">
        <f>'📱 各班抽查登記表'!D204</f>
        <v/>
      </c>
      <c r="E242" s="23" t="str">
        <f>'📱 各班抽查登記表'!E204</f>
        <v/>
      </c>
      <c r="F242" s="23">
        <f>'📱 各班抽查登記表'!F204</f>
        <v>0</v>
      </c>
      <c r="G242" s="24" t="str">
        <f>'📱 各班抽查登記表'!G204</f>
        <v/>
      </c>
      <c r="H242" s="6" t="str">
        <f>'📱 各班抽查登記表'!H204</f>
        <v/>
      </c>
      <c r="I242" s="20">
        <f>'📱 各班抽查登記表'!I204</f>
        <v>0</v>
      </c>
      <c r="J242" s="20">
        <f>'📱 各班抽查登記表'!J204</f>
        <v>0</v>
      </c>
    </row>
    <row r="243" spans="1:10" ht="17">
      <c r="A243" s="6">
        <f>'📱 各班抽查登記表'!A205</f>
        <v>198</v>
      </c>
      <c r="B243" s="6" t="str">
        <f>'📱 各班抽查登記表'!B205</f>
        <v>P6B</v>
      </c>
      <c r="C243" s="6">
        <f>'📱 各班抽查登記表'!C205</f>
        <v>0</v>
      </c>
      <c r="D243" s="6" t="str">
        <f>'📱 各班抽查登記表'!D205</f>
        <v/>
      </c>
      <c r="E243" s="23" t="str">
        <f>'📱 各班抽查登記表'!E205</f>
        <v/>
      </c>
      <c r="F243" s="23">
        <f>'📱 各班抽查登記表'!F205</f>
        <v>0</v>
      </c>
      <c r="G243" s="24" t="str">
        <f>'📱 各班抽查登記表'!G205</f>
        <v/>
      </c>
      <c r="H243" s="6" t="str">
        <f>'📱 各班抽查登記表'!H205</f>
        <v/>
      </c>
      <c r="I243" s="20">
        <f>'📱 各班抽查登記表'!I205</f>
        <v>0</v>
      </c>
      <c r="J243" s="20">
        <f>'📱 各班抽查登記表'!J205</f>
        <v>0</v>
      </c>
    </row>
    <row r="244" spans="1:10" ht="17">
      <c r="A244" s="6">
        <f>'📱 各班抽查登記表'!A206</f>
        <v>199</v>
      </c>
      <c r="B244" s="6" t="str">
        <f>'📱 各班抽查登記表'!B206</f>
        <v>P6C</v>
      </c>
      <c r="C244" s="6">
        <f>'📱 各班抽查登記表'!C206</f>
        <v>0</v>
      </c>
      <c r="D244" s="6" t="str">
        <f>'📱 各班抽查登記表'!D206</f>
        <v/>
      </c>
      <c r="E244" s="23" t="str">
        <f>'📱 各班抽查登記表'!E206</f>
        <v/>
      </c>
      <c r="F244" s="23">
        <f>'📱 各班抽查登記表'!F206</f>
        <v>0</v>
      </c>
      <c r="G244" s="24" t="str">
        <f>'📱 各班抽查登記表'!G206</f>
        <v/>
      </c>
      <c r="H244" s="6" t="str">
        <f>'📱 各班抽查登記表'!H206</f>
        <v/>
      </c>
      <c r="I244" s="20">
        <f>'📱 各班抽查登記表'!I206</f>
        <v>0</v>
      </c>
      <c r="J244" s="20">
        <f>'📱 各班抽查登記表'!J206</f>
        <v>0</v>
      </c>
    </row>
    <row r="245" spans="1:10" ht="17">
      <c r="A245" s="6">
        <f>'📱 各班抽查登記表'!A207</f>
        <v>200</v>
      </c>
      <c r="B245" s="6" t="str">
        <f>'📱 各班抽查登記表'!B207</f>
        <v>P6C</v>
      </c>
      <c r="C245" s="6">
        <f>'📱 各班抽查登記表'!C207</f>
        <v>0</v>
      </c>
      <c r="D245" s="6" t="str">
        <f>'📱 各班抽查登記表'!D207</f>
        <v/>
      </c>
      <c r="E245" s="23" t="str">
        <f>'📱 各班抽查登記表'!E207</f>
        <v/>
      </c>
      <c r="F245" s="23">
        <f>'📱 各班抽查登記表'!F207</f>
        <v>0</v>
      </c>
      <c r="G245" s="24" t="str">
        <f>'📱 各班抽查登記表'!G207</f>
        <v/>
      </c>
      <c r="H245" s="6" t="str">
        <f>'📱 各班抽查登記表'!H207</f>
        <v/>
      </c>
      <c r="I245" s="20">
        <f>'📱 各班抽查登記表'!I207</f>
        <v>0</v>
      </c>
      <c r="J245" s="20">
        <f>'📱 各班抽查登記表'!J207</f>
        <v>0</v>
      </c>
    </row>
    <row r="246" spans="1:10" ht="17">
      <c r="A246" s="6">
        <f>'📱 各班抽查登記表'!A208</f>
        <v>201</v>
      </c>
      <c r="B246" s="6" t="str">
        <f>'📱 各班抽查登記表'!B208</f>
        <v>P6C</v>
      </c>
      <c r="C246" s="6">
        <f>'📱 各班抽查登記表'!C208</f>
        <v>0</v>
      </c>
      <c r="D246" s="6" t="str">
        <f>'📱 各班抽查登記表'!D208</f>
        <v/>
      </c>
      <c r="E246" s="23" t="str">
        <f>'📱 各班抽查登記表'!E208</f>
        <v/>
      </c>
      <c r="F246" s="23">
        <f>'📱 各班抽查登記表'!F208</f>
        <v>0</v>
      </c>
      <c r="G246" s="24" t="str">
        <f>'📱 各班抽查登記表'!G208</f>
        <v/>
      </c>
      <c r="H246" s="6" t="str">
        <f>'📱 各班抽查登記表'!H208</f>
        <v/>
      </c>
      <c r="I246" s="20">
        <f>'📱 各班抽查登記表'!I208</f>
        <v>0</v>
      </c>
      <c r="J246" s="20">
        <f>'📱 各班抽查登記表'!J208</f>
        <v>0</v>
      </c>
    </row>
    <row r="247" spans="1:10" ht="17">
      <c r="A247" s="6">
        <f>'📱 各班抽查登記表'!A209</f>
        <v>202</v>
      </c>
      <c r="B247" s="6" t="str">
        <f>'📱 各班抽查登記表'!B209</f>
        <v>P6C</v>
      </c>
      <c r="C247" s="6">
        <f>'📱 各班抽查登記表'!C209</f>
        <v>0</v>
      </c>
      <c r="D247" s="6" t="str">
        <f>'📱 各班抽查登記表'!D209</f>
        <v/>
      </c>
      <c r="E247" s="23" t="str">
        <f>'📱 各班抽查登記表'!E209</f>
        <v/>
      </c>
      <c r="F247" s="23">
        <f>'📱 各班抽查登記表'!F209</f>
        <v>0</v>
      </c>
      <c r="G247" s="24" t="str">
        <f>'📱 各班抽查登記表'!G209</f>
        <v/>
      </c>
      <c r="H247" s="6" t="str">
        <f>'📱 各班抽查登記表'!H209</f>
        <v/>
      </c>
      <c r="I247" s="20">
        <f>'📱 各班抽查登記表'!I209</f>
        <v>0</v>
      </c>
      <c r="J247" s="20">
        <f>'📱 各班抽查登記表'!J209</f>
        <v>0</v>
      </c>
    </row>
    <row r="248" spans="1:10" ht="17">
      <c r="A248" s="6">
        <f>'📱 各班抽查登記表'!A210</f>
        <v>203</v>
      </c>
      <c r="B248" s="6" t="str">
        <f>'📱 各班抽查登記表'!B210</f>
        <v>P6C</v>
      </c>
      <c r="C248" s="6">
        <f>'📱 各班抽查登記表'!C210</f>
        <v>0</v>
      </c>
      <c r="D248" s="6" t="str">
        <f>'📱 各班抽查登記表'!D210</f>
        <v/>
      </c>
      <c r="E248" s="23" t="str">
        <f>'📱 各班抽查登記表'!E210</f>
        <v/>
      </c>
      <c r="F248" s="23">
        <f>'📱 各班抽查登記表'!F210</f>
        <v>0</v>
      </c>
      <c r="G248" s="24" t="str">
        <f>'📱 各班抽查登記表'!G210</f>
        <v/>
      </c>
      <c r="H248" s="6" t="str">
        <f>'📱 各班抽查登記表'!H210</f>
        <v/>
      </c>
      <c r="I248" s="20">
        <f>'📱 各班抽查登記表'!I210</f>
        <v>0</v>
      </c>
      <c r="J248" s="20">
        <f>'📱 各班抽查登記表'!J210</f>
        <v>0</v>
      </c>
    </row>
    <row r="249" spans="1:10" ht="17">
      <c r="A249" s="6">
        <f>'📱 各班抽查登記表'!A211</f>
        <v>204</v>
      </c>
      <c r="B249" s="6" t="str">
        <f>'📱 各班抽查登記表'!B211</f>
        <v>P6C</v>
      </c>
      <c r="C249" s="6">
        <f>'📱 各班抽查登記表'!C211</f>
        <v>0</v>
      </c>
      <c r="D249" s="6" t="str">
        <f>'📱 各班抽查登記表'!D211</f>
        <v/>
      </c>
      <c r="E249" s="23" t="str">
        <f>'📱 各班抽查登記表'!E211</f>
        <v/>
      </c>
      <c r="F249" s="23">
        <f>'📱 各班抽查登記表'!F211</f>
        <v>0</v>
      </c>
      <c r="G249" s="24" t="str">
        <f>'📱 各班抽查登記表'!G211</f>
        <v/>
      </c>
      <c r="H249" s="6" t="str">
        <f>'📱 各班抽查登記表'!H211</f>
        <v/>
      </c>
      <c r="I249" s="20">
        <f>'📱 各班抽查登記表'!I211</f>
        <v>0</v>
      </c>
      <c r="J249" s="20">
        <f>'📱 各班抽查登記表'!J211</f>
        <v>0</v>
      </c>
    </row>
    <row r="250" spans="1:10" ht="17">
      <c r="A250" s="6">
        <f>'📱 各班抽查登記表'!A212</f>
        <v>205</v>
      </c>
      <c r="B250" s="6" t="str">
        <f>'📱 各班抽查登記表'!B212</f>
        <v>P6C</v>
      </c>
      <c r="C250" s="6">
        <f>'📱 各班抽查登記表'!C212</f>
        <v>0</v>
      </c>
      <c r="D250" s="6" t="str">
        <f>'📱 各班抽查登記表'!D212</f>
        <v/>
      </c>
      <c r="E250" s="23" t="str">
        <f>'📱 各班抽查登記表'!E212</f>
        <v/>
      </c>
      <c r="F250" s="23">
        <f>'📱 各班抽查登記表'!F212</f>
        <v>0</v>
      </c>
      <c r="G250" s="24" t="str">
        <f>'📱 各班抽查登記表'!G212</f>
        <v/>
      </c>
      <c r="H250" s="6" t="str">
        <f>'📱 各班抽查登記表'!H212</f>
        <v/>
      </c>
      <c r="I250" s="20">
        <f>'📱 各班抽查登記表'!I212</f>
        <v>0</v>
      </c>
      <c r="J250" s="20">
        <f>'📱 各班抽查登記表'!J212</f>
        <v>0</v>
      </c>
    </row>
    <row r="251" spans="1:10" ht="17">
      <c r="A251" s="6">
        <f>'📱 各班抽查登記表'!A213</f>
        <v>206</v>
      </c>
      <c r="B251" s="6" t="str">
        <f>'📱 各班抽查登記表'!B213</f>
        <v>P6C</v>
      </c>
      <c r="C251" s="6">
        <f>'📱 各班抽查登記表'!C213</f>
        <v>0</v>
      </c>
      <c r="D251" s="6" t="str">
        <f>'📱 各班抽查登記表'!D213</f>
        <v/>
      </c>
      <c r="E251" s="23" t="str">
        <f>'📱 各班抽查登記表'!E213</f>
        <v/>
      </c>
      <c r="F251" s="23">
        <f>'📱 各班抽查登記表'!F213</f>
        <v>0</v>
      </c>
      <c r="G251" s="24" t="str">
        <f>'📱 各班抽查登記表'!G213</f>
        <v/>
      </c>
      <c r="H251" s="6" t="str">
        <f>'📱 各班抽查登記表'!H213</f>
        <v/>
      </c>
      <c r="I251" s="20">
        <f>'📱 各班抽查登記表'!I213</f>
        <v>0</v>
      </c>
      <c r="J251" s="20">
        <f>'📱 各班抽查登記表'!J213</f>
        <v>0</v>
      </c>
    </row>
    <row r="252" spans="1:10" ht="17">
      <c r="A252" s="6">
        <f>'📱 各班抽查登記表'!A214</f>
        <v>207</v>
      </c>
      <c r="B252" s="6" t="str">
        <f>'📱 各班抽查登記表'!B214</f>
        <v>P6C</v>
      </c>
      <c r="C252" s="6">
        <f>'📱 各班抽查登記表'!C214</f>
        <v>0</v>
      </c>
      <c r="D252" s="6" t="str">
        <f>'📱 各班抽查登記表'!D214</f>
        <v/>
      </c>
      <c r="E252" s="23" t="str">
        <f>'📱 各班抽查登記表'!E214</f>
        <v/>
      </c>
      <c r="F252" s="23">
        <f>'📱 各班抽查登記表'!F214</f>
        <v>0</v>
      </c>
      <c r="G252" s="24" t="str">
        <f>'📱 各班抽查登記表'!G214</f>
        <v/>
      </c>
      <c r="H252" s="6" t="str">
        <f>'📱 各班抽查登記表'!H214</f>
        <v/>
      </c>
      <c r="I252" s="20">
        <f>'📱 各班抽查登記表'!I214</f>
        <v>0</v>
      </c>
      <c r="J252" s="20">
        <f>'📱 各班抽查登記表'!J214</f>
        <v>0</v>
      </c>
    </row>
    <row r="253" spans="1:10" ht="17">
      <c r="A253" s="6">
        <f>'📱 各班抽查登記表'!A215</f>
        <v>208</v>
      </c>
      <c r="B253" s="6" t="str">
        <f>'📱 各班抽查登記表'!B215</f>
        <v>P6C</v>
      </c>
      <c r="C253" s="6">
        <f>'📱 各班抽查登記表'!C215</f>
        <v>0</v>
      </c>
      <c r="D253" s="6" t="str">
        <f>'📱 各班抽查登記表'!D215</f>
        <v/>
      </c>
      <c r="E253" s="23" t="str">
        <f>'📱 各班抽查登記表'!E215</f>
        <v/>
      </c>
      <c r="F253" s="23">
        <f>'📱 各班抽查登記表'!F215</f>
        <v>0</v>
      </c>
      <c r="G253" s="24" t="str">
        <f>'📱 各班抽查登記表'!G215</f>
        <v/>
      </c>
      <c r="H253" s="6" t="str">
        <f>'📱 各班抽查登記表'!H215</f>
        <v/>
      </c>
      <c r="I253" s="20">
        <f>'📱 各班抽查登記表'!I215</f>
        <v>0</v>
      </c>
      <c r="J253" s="20">
        <f>'📱 各班抽查登記表'!J215</f>
        <v>0</v>
      </c>
    </row>
    <row r="254" spans="1:10" ht="17">
      <c r="A254" s="6">
        <f>'📱 各班抽查登記表'!A216</f>
        <v>209</v>
      </c>
      <c r="B254" s="6" t="str">
        <f>'📱 各班抽查登記表'!B216</f>
        <v>P6C</v>
      </c>
      <c r="C254" s="6">
        <f>'📱 各班抽查登記表'!C216</f>
        <v>0</v>
      </c>
      <c r="D254" s="6" t="str">
        <f>'📱 各班抽查登記表'!D216</f>
        <v/>
      </c>
      <c r="E254" s="23" t="str">
        <f>'📱 各班抽查登記表'!E216</f>
        <v/>
      </c>
      <c r="F254" s="23">
        <f>'📱 各班抽查登記表'!F216</f>
        <v>0</v>
      </c>
      <c r="G254" s="24" t="str">
        <f>'📱 各班抽查登記表'!G216</f>
        <v/>
      </c>
      <c r="H254" s="6" t="str">
        <f>'📱 各班抽查登記表'!H216</f>
        <v/>
      </c>
      <c r="I254" s="20">
        <f>'📱 各班抽查登記表'!I216</f>
        <v>0</v>
      </c>
      <c r="J254" s="20">
        <f>'📱 各班抽查登記表'!J216</f>
        <v>0</v>
      </c>
    </row>
    <row r="255" spans="1:10" ht="17">
      <c r="A255" s="6">
        <f>'📱 各班抽查登記表'!A217</f>
        <v>210</v>
      </c>
      <c r="B255" s="6" t="str">
        <f>'📱 各班抽查登記表'!B217</f>
        <v>P6D</v>
      </c>
      <c r="C255" s="6">
        <f>'📱 各班抽查登記表'!C217</f>
        <v>0</v>
      </c>
      <c r="D255" s="6" t="str">
        <f>'📱 各班抽查登記表'!D217</f>
        <v/>
      </c>
      <c r="E255" s="23" t="str">
        <f>'📱 各班抽查登記表'!E217</f>
        <v/>
      </c>
      <c r="F255" s="23">
        <f>'📱 各班抽查登記表'!F217</f>
        <v>0</v>
      </c>
      <c r="G255" s="24" t="str">
        <f>'📱 各班抽查登記表'!G217</f>
        <v/>
      </c>
      <c r="H255" s="6" t="str">
        <f>'📱 各班抽查登記表'!H217</f>
        <v/>
      </c>
      <c r="I255" s="20">
        <f>'📱 各班抽查登記表'!I217</f>
        <v>0</v>
      </c>
      <c r="J255" s="20">
        <f>'📱 各班抽查登記表'!J217</f>
        <v>0</v>
      </c>
    </row>
    <row r="256" spans="1:10" ht="17">
      <c r="A256" s="6">
        <f>'📱 各班抽查登記表'!A218</f>
        <v>211</v>
      </c>
      <c r="B256" s="6" t="str">
        <f>'📱 各班抽查登記表'!B218</f>
        <v>P6D</v>
      </c>
      <c r="C256" s="6">
        <f>'📱 各班抽查登記表'!C218</f>
        <v>0</v>
      </c>
      <c r="D256" s="6" t="str">
        <f>'📱 各班抽查登記表'!D218</f>
        <v/>
      </c>
      <c r="E256" s="23" t="str">
        <f>'📱 各班抽查登記表'!E218</f>
        <v/>
      </c>
      <c r="F256" s="23">
        <f>'📱 各班抽查登記表'!F218</f>
        <v>0</v>
      </c>
      <c r="G256" s="24" t="str">
        <f>'📱 各班抽查登記表'!G218</f>
        <v/>
      </c>
      <c r="H256" s="6" t="str">
        <f>'📱 各班抽查登記表'!H218</f>
        <v/>
      </c>
      <c r="I256" s="20">
        <f>'📱 各班抽查登記表'!I218</f>
        <v>0</v>
      </c>
      <c r="J256" s="20">
        <f>'📱 各班抽查登記表'!J218</f>
        <v>0</v>
      </c>
    </row>
    <row r="257" spans="1:10" ht="17">
      <c r="A257" s="6">
        <f>'📱 各班抽查登記表'!A219</f>
        <v>212</v>
      </c>
      <c r="B257" s="6" t="str">
        <f>'📱 各班抽查登記表'!B219</f>
        <v>P6D</v>
      </c>
      <c r="C257" s="6">
        <f>'📱 各班抽查登記表'!C219</f>
        <v>0</v>
      </c>
      <c r="D257" s="6" t="str">
        <f>'📱 各班抽查登記表'!D219</f>
        <v/>
      </c>
      <c r="E257" s="23" t="str">
        <f>'📱 各班抽查登記表'!E219</f>
        <v/>
      </c>
      <c r="F257" s="23">
        <f>'📱 各班抽查登記表'!F219</f>
        <v>0</v>
      </c>
      <c r="G257" s="24" t="str">
        <f>'📱 各班抽查登記表'!G219</f>
        <v/>
      </c>
      <c r="H257" s="6" t="str">
        <f>'📱 各班抽查登記表'!H219</f>
        <v/>
      </c>
      <c r="I257" s="20">
        <f>'📱 各班抽查登記表'!I219</f>
        <v>0</v>
      </c>
      <c r="J257" s="20">
        <f>'📱 各班抽查登記表'!J219</f>
        <v>0</v>
      </c>
    </row>
    <row r="258" spans="1:10" ht="17">
      <c r="A258" s="6">
        <f>'📱 各班抽查登記表'!A220</f>
        <v>213</v>
      </c>
      <c r="B258" s="6" t="str">
        <f>'📱 各班抽查登記表'!B220</f>
        <v>P6D</v>
      </c>
      <c r="C258" s="6">
        <f>'📱 各班抽查登記表'!C220</f>
        <v>0</v>
      </c>
      <c r="D258" s="6" t="str">
        <f>'📱 各班抽查登記表'!D220</f>
        <v/>
      </c>
      <c r="E258" s="23" t="str">
        <f>'📱 各班抽查登記表'!E220</f>
        <v/>
      </c>
      <c r="F258" s="23">
        <f>'📱 各班抽查登記表'!F220</f>
        <v>0</v>
      </c>
      <c r="G258" s="24" t="str">
        <f>'📱 各班抽查登記表'!G220</f>
        <v/>
      </c>
      <c r="H258" s="6" t="str">
        <f>'📱 各班抽查登記表'!H220</f>
        <v/>
      </c>
      <c r="I258" s="20">
        <f>'📱 各班抽查登記表'!I220</f>
        <v>0</v>
      </c>
      <c r="J258" s="20">
        <f>'📱 各班抽查登記表'!J220</f>
        <v>0</v>
      </c>
    </row>
    <row r="259" spans="1:10" ht="17">
      <c r="A259" s="6">
        <f>'📱 各班抽查登記表'!A221</f>
        <v>214</v>
      </c>
      <c r="B259" s="6" t="str">
        <f>'📱 各班抽查登記表'!B221</f>
        <v>P6D</v>
      </c>
      <c r="C259" s="6">
        <f>'📱 各班抽查登記表'!C221</f>
        <v>0</v>
      </c>
      <c r="D259" s="6" t="str">
        <f>'📱 各班抽查登記表'!D221</f>
        <v/>
      </c>
      <c r="E259" s="23" t="str">
        <f>'📱 各班抽查登記表'!E221</f>
        <v/>
      </c>
      <c r="F259" s="23">
        <f>'📱 各班抽查登記表'!F221</f>
        <v>0</v>
      </c>
      <c r="G259" s="24" t="str">
        <f>'📱 各班抽查登記表'!G221</f>
        <v/>
      </c>
      <c r="H259" s="6" t="str">
        <f>'📱 各班抽查登記表'!H221</f>
        <v/>
      </c>
      <c r="I259" s="20">
        <f>'📱 各班抽查登記表'!I221</f>
        <v>0</v>
      </c>
      <c r="J259" s="20">
        <f>'📱 各班抽查登記表'!J221</f>
        <v>0</v>
      </c>
    </row>
    <row r="260" spans="1:10" ht="17">
      <c r="A260" s="6">
        <f>'📱 各班抽查登記表'!A222</f>
        <v>215</v>
      </c>
      <c r="B260" s="6" t="str">
        <f>'📱 各班抽查登記表'!B222</f>
        <v>P6D</v>
      </c>
      <c r="C260" s="6">
        <f>'📱 各班抽查登記表'!C222</f>
        <v>0</v>
      </c>
      <c r="D260" s="6" t="str">
        <f>'📱 各班抽查登記表'!D222</f>
        <v/>
      </c>
      <c r="E260" s="23" t="str">
        <f>'📱 各班抽查登記表'!E222</f>
        <v/>
      </c>
      <c r="F260" s="23">
        <f>'📱 各班抽查登記表'!F222</f>
        <v>0</v>
      </c>
      <c r="G260" s="24" t="str">
        <f>'📱 各班抽查登記表'!G222</f>
        <v/>
      </c>
      <c r="H260" s="6" t="str">
        <f>'📱 各班抽查登記表'!H222</f>
        <v/>
      </c>
      <c r="I260" s="20">
        <f>'📱 各班抽查登記表'!I222</f>
        <v>0</v>
      </c>
      <c r="J260" s="20">
        <f>'📱 各班抽查登記表'!J222</f>
        <v>0</v>
      </c>
    </row>
    <row r="261" spans="1:10" ht="17">
      <c r="A261" s="6">
        <f>'📱 各班抽查登記表'!A223</f>
        <v>216</v>
      </c>
      <c r="B261" s="6" t="str">
        <f>'📱 各班抽查登記表'!B223</f>
        <v>P6D</v>
      </c>
      <c r="C261" s="6">
        <f>'📱 各班抽查登記表'!C223</f>
        <v>0</v>
      </c>
      <c r="D261" s="6" t="str">
        <f>'📱 各班抽查登記表'!D223</f>
        <v/>
      </c>
      <c r="E261" s="23" t="str">
        <f>'📱 各班抽查登記表'!E223</f>
        <v/>
      </c>
      <c r="F261" s="23">
        <f>'📱 各班抽查登記表'!F223</f>
        <v>0</v>
      </c>
      <c r="G261" s="24" t="str">
        <f>'📱 各班抽查登記表'!G223</f>
        <v/>
      </c>
      <c r="H261" s="6" t="str">
        <f>'📱 各班抽查登記表'!H223</f>
        <v/>
      </c>
      <c r="I261" s="20">
        <f>'📱 各班抽查登記表'!I223</f>
        <v>0</v>
      </c>
      <c r="J261" s="20">
        <f>'📱 各班抽查登記表'!J223</f>
        <v>0</v>
      </c>
    </row>
    <row r="262" spans="1:10" ht="17">
      <c r="A262" s="6">
        <f>'📱 各班抽查登記表'!A224</f>
        <v>217</v>
      </c>
      <c r="B262" s="6" t="str">
        <f>'📱 各班抽查登記表'!B224</f>
        <v>P6D</v>
      </c>
      <c r="C262" s="6">
        <f>'📱 各班抽查登記表'!C224</f>
        <v>0</v>
      </c>
      <c r="D262" s="6" t="str">
        <f>'📱 各班抽查登記表'!D224</f>
        <v/>
      </c>
      <c r="E262" s="23" t="str">
        <f>'📱 各班抽查登記表'!E224</f>
        <v/>
      </c>
      <c r="F262" s="23">
        <f>'📱 各班抽查登記表'!F224</f>
        <v>0</v>
      </c>
      <c r="G262" s="24" t="str">
        <f>'📱 各班抽查登記表'!G224</f>
        <v/>
      </c>
      <c r="H262" s="6" t="str">
        <f>'📱 各班抽查登記表'!H224</f>
        <v/>
      </c>
      <c r="I262" s="20">
        <f>'📱 各班抽查登記表'!I224</f>
        <v>0</v>
      </c>
      <c r="J262" s="20">
        <f>'📱 各班抽查登記表'!J224</f>
        <v>0</v>
      </c>
    </row>
    <row r="263" spans="1:10" ht="17">
      <c r="A263" s="6">
        <f>'📱 各班抽查登記表'!A225</f>
        <v>218</v>
      </c>
      <c r="B263" s="6" t="str">
        <f>'📱 各班抽查登記表'!B225</f>
        <v>P6D</v>
      </c>
      <c r="C263" s="6">
        <f>'📱 各班抽查登記表'!C225</f>
        <v>0</v>
      </c>
      <c r="D263" s="6" t="str">
        <f>'📱 各班抽查登記表'!D225</f>
        <v/>
      </c>
      <c r="E263" s="23" t="str">
        <f>'📱 各班抽查登記表'!E225</f>
        <v/>
      </c>
      <c r="F263" s="23">
        <f>'📱 各班抽查登記表'!F225</f>
        <v>0</v>
      </c>
      <c r="G263" s="24" t="str">
        <f>'📱 各班抽查登記表'!G225</f>
        <v/>
      </c>
      <c r="H263" s="6" t="str">
        <f>'📱 各班抽查登記表'!H225</f>
        <v/>
      </c>
      <c r="I263" s="20">
        <f>'📱 各班抽查登記表'!I225</f>
        <v>0</v>
      </c>
      <c r="J263" s="20">
        <f>'📱 各班抽查登記表'!J225</f>
        <v>0</v>
      </c>
    </row>
    <row r="264" spans="1:10" ht="17">
      <c r="A264" s="6">
        <f>'📱 各班抽查登記表'!A226</f>
        <v>219</v>
      </c>
      <c r="B264" s="6" t="str">
        <f>'📱 各班抽查登記表'!B226</f>
        <v>P6D</v>
      </c>
      <c r="C264" s="6">
        <f>'📱 各班抽查登記表'!C226</f>
        <v>0</v>
      </c>
      <c r="D264" s="6" t="str">
        <f>'📱 各班抽查登記表'!D226</f>
        <v/>
      </c>
      <c r="E264" s="23" t="str">
        <f>'📱 各班抽查登記表'!E226</f>
        <v/>
      </c>
      <c r="F264" s="23">
        <f>'📱 各班抽查登記表'!F226</f>
        <v>0</v>
      </c>
      <c r="G264" s="24" t="str">
        <f>'📱 各班抽查登記表'!G226</f>
        <v/>
      </c>
      <c r="H264" s="6" t="str">
        <f>'📱 各班抽查登記表'!H226</f>
        <v/>
      </c>
      <c r="I264" s="20">
        <f>'📱 各班抽查登記表'!I226</f>
        <v>0</v>
      </c>
      <c r="J264" s="20">
        <f>'📱 各班抽查登記表'!J226</f>
        <v>0</v>
      </c>
    </row>
    <row r="265" spans="1:10" ht="17">
      <c r="A265" s="6">
        <f>'📱 各班抽查登記表'!A227</f>
        <v>220</v>
      </c>
      <c r="B265" s="6" t="str">
        <f>'📱 各班抽查登記表'!B227</f>
        <v>P6D</v>
      </c>
      <c r="C265" s="6">
        <f>'📱 各班抽查登記表'!C227</f>
        <v>0</v>
      </c>
      <c r="D265" s="6" t="str">
        <f>'📱 各班抽查登記表'!D227</f>
        <v/>
      </c>
      <c r="E265" s="23" t="str">
        <f>'📱 各班抽查登記表'!E227</f>
        <v/>
      </c>
      <c r="F265" s="23">
        <f>'📱 各班抽查登記表'!F227</f>
        <v>0</v>
      </c>
      <c r="G265" s="24" t="str">
        <f>'📱 各班抽查登記表'!G227</f>
        <v/>
      </c>
      <c r="H265" s="6" t="str">
        <f>'📱 各班抽查登記表'!H227</f>
        <v/>
      </c>
      <c r="I265" s="20">
        <f>'📱 各班抽查登記表'!I227</f>
        <v>0</v>
      </c>
      <c r="J265" s="20">
        <f>'📱 各班抽查登記表'!J227</f>
        <v>0</v>
      </c>
    </row>
  </sheetData>
  <mergeCells count="4">
    <mergeCell ref="A9:H9"/>
    <mergeCell ref="A4:H4"/>
    <mergeCell ref="A43:H43"/>
    <mergeCell ref="A19:H19"/>
  </mergeCells>
  <phoneticPr fontId="10" type="noConversion"/>
  <conditionalFormatting sqref="H46:H265">
    <cfRule type="cellIs" dxfId="3" priority="1" stopIfTrue="1" operator="equal">
      <formula>"達標"</formula>
    </cfRule>
    <cfRule type="cellIs" dxfId="2" priority="2" stopIfTrue="1" operator="equal">
      <formula>"超重"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13"/>
  <sheetViews>
    <sheetView tabSelected="1" workbookViewId="0">
      <pane ySplit="3" topLeftCell="A4" activePane="bottomLeft" state="frozen"/>
      <selection pane="bottomLeft" activeCell="L642" sqref="L642"/>
    </sheetView>
  </sheetViews>
  <sheetFormatPr baseColWidth="10" defaultColWidth="9" defaultRowHeight="14"/>
  <cols>
    <col min="1" max="1" width="40" customWidth="1"/>
    <col min="2" max="9" width="12" customWidth="1"/>
  </cols>
  <sheetData>
    <row r="1" spans="1:9" ht="21">
      <c r="A1" s="1" t="s">
        <v>61</v>
      </c>
    </row>
    <row r="3" spans="1:9" ht="17">
      <c r="A3" s="25" t="s">
        <v>62</v>
      </c>
      <c r="B3" s="25" t="s">
        <v>43</v>
      </c>
      <c r="C3" s="25" t="s">
        <v>53</v>
      </c>
      <c r="D3" s="25" t="s">
        <v>54</v>
      </c>
      <c r="E3" s="25" t="s">
        <v>63</v>
      </c>
      <c r="F3" s="25" t="s">
        <v>64</v>
      </c>
      <c r="G3" s="25" t="s">
        <v>65</v>
      </c>
      <c r="H3" s="25" t="s">
        <v>55</v>
      </c>
      <c r="I3" s="25" t="s">
        <v>66</v>
      </c>
    </row>
    <row r="4" spans="1:9" ht="17">
      <c r="A4" s="6" t="s">
        <v>67</v>
      </c>
      <c r="B4" s="6" t="s">
        <v>9</v>
      </c>
      <c r="C4" s="6">
        <v>1</v>
      </c>
      <c r="D4" s="6" t="s">
        <v>68</v>
      </c>
      <c r="E4" s="6" t="s">
        <v>69</v>
      </c>
      <c r="F4" s="21">
        <v>6</v>
      </c>
      <c r="G4" s="23">
        <v>116.5</v>
      </c>
      <c r="H4" s="23">
        <v>18.5</v>
      </c>
      <c r="I4" s="23">
        <v>13.6</v>
      </c>
    </row>
    <row r="5" spans="1:9" ht="17">
      <c r="A5" s="6" t="s">
        <v>70</v>
      </c>
      <c r="B5" s="6" t="s">
        <v>9</v>
      </c>
      <c r="C5" s="6">
        <v>2</v>
      </c>
      <c r="D5" s="6" t="s">
        <v>71</v>
      </c>
      <c r="E5" s="6" t="s">
        <v>72</v>
      </c>
      <c r="F5" s="21">
        <v>6</v>
      </c>
      <c r="G5" s="23">
        <v>115</v>
      </c>
      <c r="H5" s="23">
        <v>19.100000000000001</v>
      </c>
      <c r="I5" s="23">
        <v>14.4</v>
      </c>
    </row>
    <row r="6" spans="1:9" ht="17">
      <c r="A6" s="6" t="s">
        <v>73</v>
      </c>
      <c r="B6" s="6" t="s">
        <v>9</v>
      </c>
      <c r="C6" s="6">
        <v>3</v>
      </c>
      <c r="D6" s="6" t="s">
        <v>74</v>
      </c>
      <c r="E6" s="6" t="s">
        <v>69</v>
      </c>
      <c r="F6" s="21">
        <v>6</v>
      </c>
      <c r="G6" s="23">
        <v>115.5</v>
      </c>
      <c r="H6" s="23">
        <v>16.2</v>
      </c>
      <c r="I6" s="23">
        <v>12.1</v>
      </c>
    </row>
    <row r="7" spans="1:9" ht="17">
      <c r="A7" s="6" t="s">
        <v>75</v>
      </c>
      <c r="B7" s="6" t="s">
        <v>9</v>
      </c>
      <c r="C7" s="6">
        <v>4</v>
      </c>
      <c r="D7" s="6" t="s">
        <v>76</v>
      </c>
      <c r="E7" s="6" t="s">
        <v>72</v>
      </c>
      <c r="F7" s="21">
        <v>6</v>
      </c>
      <c r="G7" s="23">
        <v>123.5</v>
      </c>
      <c r="H7" s="23">
        <v>26.4</v>
      </c>
      <c r="I7" s="23">
        <v>17.3</v>
      </c>
    </row>
    <row r="8" spans="1:9" ht="17">
      <c r="A8" s="6" t="s">
        <v>77</v>
      </c>
      <c r="B8" s="6" t="s">
        <v>9</v>
      </c>
      <c r="C8" s="6">
        <v>5</v>
      </c>
      <c r="D8" s="6" t="s">
        <v>78</v>
      </c>
      <c r="E8" s="6" t="s">
        <v>72</v>
      </c>
      <c r="F8" s="21">
        <v>6</v>
      </c>
      <c r="G8" s="23">
        <v>111</v>
      </c>
      <c r="H8" s="23">
        <v>15.4</v>
      </c>
      <c r="I8" s="23">
        <v>12.5</v>
      </c>
    </row>
    <row r="9" spans="1:9" ht="17">
      <c r="A9" s="6" t="s">
        <v>79</v>
      </c>
      <c r="B9" s="6" t="s">
        <v>9</v>
      </c>
      <c r="C9" s="6">
        <v>6</v>
      </c>
      <c r="D9" s="6" t="s">
        <v>80</v>
      </c>
      <c r="E9" s="6" t="s">
        <v>69</v>
      </c>
      <c r="F9" s="21">
        <v>6</v>
      </c>
      <c r="G9" s="23">
        <v>114.5</v>
      </c>
      <c r="H9" s="23">
        <v>17.3</v>
      </c>
      <c r="I9" s="23">
        <v>13.2</v>
      </c>
    </row>
    <row r="10" spans="1:9" ht="17">
      <c r="A10" s="6" t="s">
        <v>81</v>
      </c>
      <c r="B10" s="6" t="s">
        <v>9</v>
      </c>
      <c r="C10" s="6">
        <v>7</v>
      </c>
      <c r="D10" s="6" t="s">
        <v>82</v>
      </c>
      <c r="E10" s="6" t="s">
        <v>72</v>
      </c>
      <c r="F10" s="21">
        <v>6</v>
      </c>
      <c r="G10" s="23">
        <v>114</v>
      </c>
      <c r="H10" s="23">
        <v>19.7</v>
      </c>
      <c r="I10" s="23">
        <v>15.2</v>
      </c>
    </row>
    <row r="11" spans="1:9" ht="17">
      <c r="A11" s="6" t="s">
        <v>83</v>
      </c>
      <c r="B11" s="6" t="s">
        <v>9</v>
      </c>
      <c r="C11" s="6">
        <v>8</v>
      </c>
      <c r="D11" s="6" t="s">
        <v>84</v>
      </c>
      <c r="E11" s="6" t="s">
        <v>72</v>
      </c>
      <c r="F11" s="21">
        <v>6</v>
      </c>
      <c r="G11" s="23">
        <v>125.5</v>
      </c>
      <c r="H11" s="23">
        <v>21.9</v>
      </c>
      <c r="I11" s="23">
        <v>13.9</v>
      </c>
    </row>
    <row r="12" spans="1:9" ht="17">
      <c r="A12" s="6" t="s">
        <v>85</v>
      </c>
      <c r="B12" s="6" t="s">
        <v>9</v>
      </c>
      <c r="C12" s="6">
        <v>9</v>
      </c>
      <c r="D12" s="6" t="s">
        <v>86</v>
      </c>
      <c r="E12" s="6" t="s">
        <v>69</v>
      </c>
      <c r="F12" s="21">
        <v>6</v>
      </c>
      <c r="G12" s="23">
        <v>120</v>
      </c>
      <c r="H12" s="23">
        <v>24.5</v>
      </c>
      <c r="I12" s="23">
        <v>17</v>
      </c>
    </row>
    <row r="13" spans="1:9" ht="17">
      <c r="A13" s="6" t="s">
        <v>87</v>
      </c>
      <c r="B13" s="6" t="s">
        <v>9</v>
      </c>
      <c r="C13" s="6">
        <v>10</v>
      </c>
      <c r="D13" s="6" t="s">
        <v>88</v>
      </c>
      <c r="E13" s="6" t="s">
        <v>72</v>
      </c>
      <c r="F13" s="21">
        <v>6</v>
      </c>
      <c r="G13" s="23">
        <v>112.5</v>
      </c>
      <c r="H13" s="23">
        <v>16.7</v>
      </c>
      <c r="I13" s="23">
        <v>13.2</v>
      </c>
    </row>
    <row r="14" spans="1:9" ht="17">
      <c r="A14" s="6" t="s">
        <v>89</v>
      </c>
      <c r="B14" s="6" t="s">
        <v>9</v>
      </c>
      <c r="C14" s="6">
        <v>11</v>
      </c>
      <c r="D14" s="6" t="s">
        <v>90</v>
      </c>
      <c r="E14" s="6" t="s">
        <v>69</v>
      </c>
      <c r="F14" s="21">
        <v>6</v>
      </c>
      <c r="G14" s="23">
        <v>116</v>
      </c>
      <c r="H14" s="23">
        <v>21.5</v>
      </c>
      <c r="I14" s="23">
        <v>16</v>
      </c>
    </row>
    <row r="15" spans="1:9" ht="17">
      <c r="A15" s="6" t="s">
        <v>91</v>
      </c>
      <c r="B15" s="6" t="s">
        <v>9</v>
      </c>
      <c r="C15" s="6">
        <v>12</v>
      </c>
      <c r="D15" s="6" t="s">
        <v>92</v>
      </c>
      <c r="E15" s="6" t="s">
        <v>69</v>
      </c>
      <c r="F15" s="21">
        <v>6</v>
      </c>
      <c r="G15" s="23">
        <v>120</v>
      </c>
      <c r="H15" s="23">
        <v>18.8</v>
      </c>
      <c r="I15" s="23">
        <v>13.1</v>
      </c>
    </row>
    <row r="16" spans="1:9" ht="17">
      <c r="A16" s="6" t="s">
        <v>93</v>
      </c>
      <c r="B16" s="6" t="s">
        <v>9</v>
      </c>
      <c r="C16" s="6">
        <v>13</v>
      </c>
      <c r="D16" s="6" t="s">
        <v>94</v>
      </c>
      <c r="E16" s="6" t="s">
        <v>69</v>
      </c>
      <c r="F16" s="21">
        <v>6</v>
      </c>
      <c r="G16" s="23">
        <v>120</v>
      </c>
      <c r="H16" s="23">
        <v>22.8</v>
      </c>
      <c r="I16" s="23">
        <v>15.8</v>
      </c>
    </row>
    <row r="17" spans="1:9" ht="17">
      <c r="A17" s="6" t="s">
        <v>95</v>
      </c>
      <c r="B17" s="6" t="s">
        <v>9</v>
      </c>
      <c r="C17" s="6">
        <v>14</v>
      </c>
      <c r="D17" s="6" t="s">
        <v>96</v>
      </c>
      <c r="E17" s="6" t="s">
        <v>72</v>
      </c>
      <c r="F17" s="21">
        <v>6</v>
      </c>
      <c r="G17" s="23">
        <v>116.5</v>
      </c>
      <c r="H17" s="23">
        <v>19.8</v>
      </c>
      <c r="I17" s="23">
        <v>14.6</v>
      </c>
    </row>
    <row r="18" spans="1:9" ht="17">
      <c r="A18" s="6" t="s">
        <v>97</v>
      </c>
      <c r="B18" s="6" t="s">
        <v>9</v>
      </c>
      <c r="C18" s="6">
        <v>15</v>
      </c>
      <c r="D18" s="6" t="s">
        <v>98</v>
      </c>
      <c r="E18" s="6" t="s">
        <v>72</v>
      </c>
      <c r="F18" s="21">
        <v>6</v>
      </c>
      <c r="G18" s="23">
        <v>116</v>
      </c>
      <c r="H18" s="23">
        <v>20.8</v>
      </c>
      <c r="I18" s="23">
        <v>15.5</v>
      </c>
    </row>
    <row r="19" spans="1:9" ht="17">
      <c r="A19" s="6" t="s">
        <v>99</v>
      </c>
      <c r="B19" s="6" t="s">
        <v>9</v>
      </c>
      <c r="C19" s="6">
        <v>16</v>
      </c>
      <c r="D19" s="6" t="s">
        <v>100</v>
      </c>
      <c r="E19" s="6" t="s">
        <v>72</v>
      </c>
      <c r="F19" s="21">
        <v>5</v>
      </c>
      <c r="G19" s="23">
        <v>116.5</v>
      </c>
      <c r="H19" s="23">
        <v>18</v>
      </c>
      <c r="I19" s="23">
        <v>13.3</v>
      </c>
    </row>
    <row r="20" spans="1:9" ht="17">
      <c r="A20" s="6" t="s">
        <v>101</v>
      </c>
      <c r="B20" s="6" t="s">
        <v>9</v>
      </c>
      <c r="C20" s="6">
        <v>17</v>
      </c>
      <c r="D20" s="6" t="s">
        <v>102</v>
      </c>
      <c r="E20" s="6" t="s">
        <v>69</v>
      </c>
      <c r="F20" s="21">
        <v>5</v>
      </c>
      <c r="G20" s="23">
        <v>111</v>
      </c>
      <c r="H20" s="23">
        <v>18.3</v>
      </c>
      <c r="I20" s="23">
        <v>14.9</v>
      </c>
    </row>
    <row r="21" spans="1:9" ht="17">
      <c r="A21" s="6" t="s">
        <v>103</v>
      </c>
      <c r="B21" s="6" t="s">
        <v>9</v>
      </c>
      <c r="C21" s="6">
        <v>18</v>
      </c>
      <c r="D21" s="6" t="s">
        <v>104</v>
      </c>
      <c r="E21" s="6" t="s">
        <v>69</v>
      </c>
      <c r="F21" s="21">
        <v>6</v>
      </c>
      <c r="G21" s="23">
        <v>118</v>
      </c>
      <c r="H21" s="23">
        <v>22.3</v>
      </c>
      <c r="I21" s="23">
        <v>16</v>
      </c>
    </row>
    <row r="22" spans="1:9" ht="17">
      <c r="A22" s="6" t="s">
        <v>105</v>
      </c>
      <c r="B22" s="6" t="s">
        <v>9</v>
      </c>
      <c r="C22" s="6">
        <v>19</v>
      </c>
      <c r="D22" s="6" t="s">
        <v>106</v>
      </c>
      <c r="E22" s="6" t="s">
        <v>69</v>
      </c>
      <c r="F22" s="21">
        <v>6</v>
      </c>
      <c r="G22" s="23">
        <v>114.5</v>
      </c>
      <c r="H22" s="23">
        <v>17.2</v>
      </c>
      <c r="I22" s="23">
        <v>13.1</v>
      </c>
    </row>
    <row r="23" spans="1:9" ht="17">
      <c r="A23" s="6" t="s">
        <v>107</v>
      </c>
      <c r="B23" s="6" t="s">
        <v>9</v>
      </c>
      <c r="C23" s="6">
        <v>20</v>
      </c>
      <c r="D23" s="6" t="s">
        <v>108</v>
      </c>
      <c r="E23" s="6" t="s">
        <v>72</v>
      </c>
      <c r="F23" s="21">
        <v>6</v>
      </c>
      <c r="G23" s="23">
        <v>130</v>
      </c>
      <c r="H23" s="23">
        <v>27.9</v>
      </c>
      <c r="I23" s="23">
        <v>16.5</v>
      </c>
    </row>
    <row r="24" spans="1:9" ht="17">
      <c r="A24" s="6" t="s">
        <v>109</v>
      </c>
      <c r="B24" s="6" t="s">
        <v>9</v>
      </c>
      <c r="C24" s="6">
        <v>21</v>
      </c>
      <c r="D24" s="6" t="s">
        <v>110</v>
      </c>
      <c r="E24" s="6" t="s">
        <v>72</v>
      </c>
      <c r="F24" s="21">
        <v>6</v>
      </c>
      <c r="G24" s="23">
        <v>121.5</v>
      </c>
      <c r="H24" s="23">
        <v>20.3</v>
      </c>
      <c r="I24" s="23">
        <v>13.8</v>
      </c>
    </row>
    <row r="25" spans="1:9" ht="17">
      <c r="A25" s="6" t="s">
        <v>111</v>
      </c>
      <c r="B25" s="6" t="s">
        <v>9</v>
      </c>
      <c r="C25" s="6">
        <v>22</v>
      </c>
      <c r="D25" s="6" t="s">
        <v>112</v>
      </c>
      <c r="E25" s="6" t="s">
        <v>72</v>
      </c>
      <c r="F25" s="21">
        <v>6</v>
      </c>
      <c r="G25" s="23">
        <v>120</v>
      </c>
      <c r="H25" s="23">
        <v>22.2</v>
      </c>
      <c r="I25" s="23">
        <v>15.4</v>
      </c>
    </row>
    <row r="26" spans="1:9" ht="17">
      <c r="A26" s="6" t="s">
        <v>113</v>
      </c>
      <c r="B26" s="6" t="s">
        <v>9</v>
      </c>
      <c r="C26" s="6">
        <v>23</v>
      </c>
      <c r="D26" s="6" t="s">
        <v>114</v>
      </c>
      <c r="E26" s="6" t="s">
        <v>69</v>
      </c>
      <c r="F26" s="21">
        <v>6</v>
      </c>
      <c r="G26" s="23">
        <v>116.5</v>
      </c>
      <c r="H26" s="23">
        <v>18.3</v>
      </c>
      <c r="I26" s="23">
        <v>13.5</v>
      </c>
    </row>
    <row r="27" spans="1:9" ht="17">
      <c r="A27" s="6" t="s">
        <v>115</v>
      </c>
      <c r="B27" s="6" t="s">
        <v>9</v>
      </c>
      <c r="C27" s="6">
        <v>24</v>
      </c>
      <c r="D27" s="6" t="s">
        <v>116</v>
      </c>
      <c r="E27" s="6" t="s">
        <v>72</v>
      </c>
      <c r="F27" s="21">
        <v>5</v>
      </c>
      <c r="G27" s="23">
        <v>119.5</v>
      </c>
      <c r="H27" s="23">
        <v>23.2</v>
      </c>
      <c r="I27" s="23">
        <v>16.2</v>
      </c>
    </row>
    <row r="28" spans="1:9" ht="17">
      <c r="A28" s="6" t="s">
        <v>117</v>
      </c>
      <c r="B28" s="6" t="s">
        <v>9</v>
      </c>
      <c r="C28" s="6">
        <v>25</v>
      </c>
      <c r="D28" s="6" t="s">
        <v>118</v>
      </c>
      <c r="E28" s="6" t="s">
        <v>69</v>
      </c>
      <c r="F28" s="21">
        <v>6</v>
      </c>
      <c r="G28" s="23">
        <v>112.5</v>
      </c>
      <c r="H28" s="23">
        <v>19.5</v>
      </c>
      <c r="I28" s="23">
        <v>15.4</v>
      </c>
    </row>
    <row r="29" spans="1:9" ht="17">
      <c r="A29" s="6" t="s">
        <v>119</v>
      </c>
      <c r="B29" s="6" t="s">
        <v>9</v>
      </c>
      <c r="C29" s="6">
        <v>26</v>
      </c>
      <c r="D29" s="6" t="s">
        <v>120</v>
      </c>
      <c r="E29" s="6" t="s">
        <v>69</v>
      </c>
      <c r="F29" s="21">
        <v>6</v>
      </c>
      <c r="G29" s="23">
        <v>109</v>
      </c>
      <c r="H29" s="23">
        <v>15.7</v>
      </c>
      <c r="I29" s="23">
        <v>13.2</v>
      </c>
    </row>
    <row r="30" spans="1:9" ht="17">
      <c r="A30" s="6" t="s">
        <v>121</v>
      </c>
      <c r="B30" s="6" t="s">
        <v>9</v>
      </c>
      <c r="C30" s="6">
        <v>27</v>
      </c>
      <c r="D30" s="6" t="s">
        <v>122</v>
      </c>
      <c r="E30" s="6" t="s">
        <v>72</v>
      </c>
      <c r="F30" s="21">
        <v>6</v>
      </c>
      <c r="G30" s="23">
        <v>118.5</v>
      </c>
      <c r="H30" s="23">
        <v>23.9</v>
      </c>
      <c r="I30" s="23">
        <v>17</v>
      </c>
    </row>
    <row r="31" spans="1:9" ht="17">
      <c r="A31" s="6" t="s">
        <v>123</v>
      </c>
      <c r="B31" s="6" t="s">
        <v>11</v>
      </c>
      <c r="C31" s="6">
        <v>1</v>
      </c>
      <c r="D31" s="6" t="s">
        <v>124</v>
      </c>
      <c r="E31" s="6" t="s">
        <v>69</v>
      </c>
      <c r="F31" s="21">
        <v>7</v>
      </c>
      <c r="G31" s="23">
        <v>120.5</v>
      </c>
      <c r="H31" s="23">
        <v>22.8</v>
      </c>
      <c r="I31" s="23">
        <v>15.7</v>
      </c>
    </row>
    <row r="32" spans="1:9" ht="17">
      <c r="A32" s="6" t="s">
        <v>125</v>
      </c>
      <c r="B32" s="6" t="s">
        <v>11</v>
      </c>
      <c r="C32" s="6">
        <v>2</v>
      </c>
      <c r="D32" s="6" t="s">
        <v>126</v>
      </c>
      <c r="E32" s="6" t="s">
        <v>69</v>
      </c>
      <c r="F32" s="21">
        <v>6</v>
      </c>
      <c r="G32" s="23">
        <v>123</v>
      </c>
      <c r="H32" s="23">
        <v>23.6</v>
      </c>
      <c r="I32" s="23">
        <v>15.6</v>
      </c>
    </row>
    <row r="33" spans="1:9" ht="17">
      <c r="A33" s="6" t="s">
        <v>127</v>
      </c>
      <c r="B33" s="6" t="s">
        <v>11</v>
      </c>
      <c r="C33" s="6">
        <v>3</v>
      </c>
      <c r="D33" s="6" t="s">
        <v>128</v>
      </c>
      <c r="E33" s="6" t="s">
        <v>72</v>
      </c>
      <c r="F33" s="21">
        <v>6</v>
      </c>
      <c r="G33" s="23">
        <v>118.5</v>
      </c>
      <c r="H33" s="23">
        <v>22.5</v>
      </c>
      <c r="I33" s="23">
        <v>16</v>
      </c>
    </row>
    <row r="34" spans="1:9" ht="17">
      <c r="A34" s="6" t="s">
        <v>129</v>
      </c>
      <c r="B34" s="6" t="s">
        <v>11</v>
      </c>
      <c r="C34" s="6">
        <v>4</v>
      </c>
      <c r="D34" s="6" t="s">
        <v>130</v>
      </c>
      <c r="E34" s="6" t="s">
        <v>69</v>
      </c>
      <c r="F34" s="21">
        <v>6</v>
      </c>
      <c r="G34" s="23">
        <v>110</v>
      </c>
      <c r="H34" s="23">
        <v>17.3</v>
      </c>
      <c r="I34" s="23">
        <v>14.3</v>
      </c>
    </row>
    <row r="35" spans="1:9" ht="17">
      <c r="A35" s="6" t="s">
        <v>131</v>
      </c>
      <c r="B35" s="6" t="s">
        <v>11</v>
      </c>
      <c r="C35" s="6">
        <v>5</v>
      </c>
      <c r="D35" s="6" t="s">
        <v>132</v>
      </c>
      <c r="E35" s="6" t="s">
        <v>72</v>
      </c>
      <c r="F35" s="21">
        <v>6</v>
      </c>
      <c r="G35" s="23">
        <v>119</v>
      </c>
      <c r="H35" s="23">
        <v>18.8</v>
      </c>
      <c r="I35" s="23">
        <v>13.3</v>
      </c>
    </row>
    <row r="36" spans="1:9" ht="17">
      <c r="A36" s="6" t="s">
        <v>133</v>
      </c>
      <c r="B36" s="6" t="s">
        <v>11</v>
      </c>
      <c r="C36" s="6">
        <v>6</v>
      </c>
      <c r="D36" s="6" t="s">
        <v>134</v>
      </c>
      <c r="E36" s="6" t="s">
        <v>72</v>
      </c>
      <c r="F36" s="21">
        <v>6</v>
      </c>
      <c r="G36" s="23">
        <v>113</v>
      </c>
      <c r="H36" s="23">
        <v>20.2</v>
      </c>
      <c r="I36" s="23">
        <v>15.8</v>
      </c>
    </row>
    <row r="37" spans="1:9" ht="17">
      <c r="A37" s="6" t="s">
        <v>135</v>
      </c>
      <c r="B37" s="6" t="s">
        <v>11</v>
      </c>
      <c r="C37" s="6">
        <v>7</v>
      </c>
      <c r="D37" s="6" t="s">
        <v>136</v>
      </c>
      <c r="E37" s="6" t="s">
        <v>69</v>
      </c>
      <c r="F37" s="21">
        <v>6</v>
      </c>
      <c r="G37" s="23">
        <v>119</v>
      </c>
      <c r="H37" s="23">
        <v>23</v>
      </c>
      <c r="I37" s="23">
        <v>16.2</v>
      </c>
    </row>
    <row r="38" spans="1:9" ht="17">
      <c r="A38" s="6" t="s">
        <v>137</v>
      </c>
      <c r="B38" s="6" t="s">
        <v>11</v>
      </c>
      <c r="C38" s="6">
        <v>8</v>
      </c>
      <c r="D38" s="6" t="s">
        <v>138</v>
      </c>
      <c r="E38" s="6" t="s">
        <v>69</v>
      </c>
      <c r="F38" s="21">
        <v>6</v>
      </c>
      <c r="G38" s="23">
        <v>127.5</v>
      </c>
      <c r="H38" s="23">
        <v>28.1</v>
      </c>
      <c r="I38" s="23">
        <v>17.3</v>
      </c>
    </row>
    <row r="39" spans="1:9" ht="17">
      <c r="A39" s="6" t="s">
        <v>139</v>
      </c>
      <c r="B39" s="6" t="s">
        <v>11</v>
      </c>
      <c r="C39" s="6">
        <v>9</v>
      </c>
      <c r="D39" s="6" t="s">
        <v>140</v>
      </c>
      <c r="E39" s="6" t="s">
        <v>69</v>
      </c>
      <c r="F39" s="21">
        <v>5</v>
      </c>
      <c r="G39" s="23">
        <v>108</v>
      </c>
      <c r="H39" s="23">
        <v>16.399999999999999</v>
      </c>
      <c r="I39" s="23">
        <v>14.1</v>
      </c>
    </row>
    <row r="40" spans="1:9" ht="17">
      <c r="A40" s="6" t="s">
        <v>141</v>
      </c>
      <c r="B40" s="6" t="s">
        <v>11</v>
      </c>
      <c r="C40" s="6">
        <v>10</v>
      </c>
      <c r="D40" s="6" t="s">
        <v>142</v>
      </c>
      <c r="E40" s="6" t="s">
        <v>72</v>
      </c>
      <c r="F40" s="21">
        <v>6</v>
      </c>
      <c r="G40" s="23">
        <v>115.5</v>
      </c>
      <c r="H40" s="23">
        <v>20.8</v>
      </c>
      <c r="I40" s="23">
        <v>15.6</v>
      </c>
    </row>
    <row r="41" spans="1:9" ht="17">
      <c r="A41" s="6" t="s">
        <v>143</v>
      </c>
      <c r="B41" s="6" t="s">
        <v>11</v>
      </c>
      <c r="C41" s="6">
        <v>11</v>
      </c>
      <c r="D41" s="6" t="s">
        <v>144</v>
      </c>
      <c r="E41" s="6" t="s">
        <v>72</v>
      </c>
      <c r="F41" s="21">
        <v>6</v>
      </c>
      <c r="G41" s="23">
        <v>114</v>
      </c>
      <c r="H41" s="23">
        <v>23</v>
      </c>
      <c r="I41" s="23">
        <v>17.7</v>
      </c>
    </row>
    <row r="42" spans="1:9" ht="17">
      <c r="A42" s="6" t="s">
        <v>145</v>
      </c>
      <c r="B42" s="6" t="s">
        <v>11</v>
      </c>
      <c r="C42" s="6">
        <v>12</v>
      </c>
      <c r="D42" s="6" t="s">
        <v>146</v>
      </c>
      <c r="E42" s="6" t="s">
        <v>69</v>
      </c>
      <c r="F42" s="21">
        <v>6</v>
      </c>
      <c r="G42" s="23">
        <v>113.5</v>
      </c>
      <c r="H42" s="23">
        <v>19.5</v>
      </c>
      <c r="I42" s="23">
        <v>15.1</v>
      </c>
    </row>
    <row r="43" spans="1:9" ht="17">
      <c r="A43" s="6" t="s">
        <v>147</v>
      </c>
      <c r="B43" s="6" t="s">
        <v>11</v>
      </c>
      <c r="C43" s="6">
        <v>13</v>
      </c>
      <c r="D43" s="6" t="s">
        <v>148</v>
      </c>
      <c r="E43" s="6" t="s">
        <v>69</v>
      </c>
      <c r="F43" s="21">
        <v>5</v>
      </c>
      <c r="G43" s="23">
        <v>121.5</v>
      </c>
      <c r="H43" s="23">
        <v>22.6</v>
      </c>
      <c r="I43" s="23">
        <v>15.3</v>
      </c>
    </row>
    <row r="44" spans="1:9" ht="17">
      <c r="A44" s="6" t="s">
        <v>149</v>
      </c>
      <c r="B44" s="6" t="s">
        <v>11</v>
      </c>
      <c r="C44" s="6">
        <v>14</v>
      </c>
      <c r="D44" s="6" t="s">
        <v>150</v>
      </c>
      <c r="E44" s="6" t="s">
        <v>69</v>
      </c>
      <c r="F44" s="21">
        <v>6</v>
      </c>
      <c r="G44" s="23">
        <v>127</v>
      </c>
      <c r="H44" s="23">
        <v>28.5</v>
      </c>
      <c r="I44" s="23">
        <v>17.7</v>
      </c>
    </row>
    <row r="45" spans="1:9" ht="17">
      <c r="A45" s="6" t="s">
        <v>151</v>
      </c>
      <c r="B45" s="6" t="s">
        <v>11</v>
      </c>
      <c r="C45" s="6">
        <v>15</v>
      </c>
      <c r="D45" s="6" t="s">
        <v>152</v>
      </c>
      <c r="E45" s="6" t="s">
        <v>72</v>
      </c>
      <c r="F45" s="21">
        <v>6</v>
      </c>
      <c r="G45" s="23">
        <v>108.5</v>
      </c>
      <c r="H45" s="23">
        <v>18.399999999999999</v>
      </c>
      <c r="I45" s="23">
        <v>15.6</v>
      </c>
    </row>
    <row r="46" spans="1:9" ht="17">
      <c r="A46" s="6" t="s">
        <v>153</v>
      </c>
      <c r="B46" s="6" t="s">
        <v>11</v>
      </c>
      <c r="C46" s="6">
        <v>16</v>
      </c>
      <c r="D46" s="6" t="s">
        <v>154</v>
      </c>
      <c r="E46" s="6" t="s">
        <v>72</v>
      </c>
      <c r="F46" s="21">
        <v>6</v>
      </c>
      <c r="G46" s="23">
        <v>111</v>
      </c>
      <c r="H46" s="23">
        <v>18.100000000000001</v>
      </c>
      <c r="I46" s="23">
        <v>14.7</v>
      </c>
    </row>
    <row r="47" spans="1:9" ht="17">
      <c r="A47" s="6" t="s">
        <v>155</v>
      </c>
      <c r="B47" s="6" t="s">
        <v>11</v>
      </c>
      <c r="C47" s="6">
        <v>17</v>
      </c>
      <c r="D47" s="6" t="s">
        <v>156</v>
      </c>
      <c r="E47" s="6" t="s">
        <v>69</v>
      </c>
      <c r="F47" s="21">
        <v>6</v>
      </c>
      <c r="G47" s="23">
        <v>120.5</v>
      </c>
      <c r="H47" s="23">
        <v>21.3</v>
      </c>
      <c r="I47" s="23">
        <v>14.7</v>
      </c>
    </row>
    <row r="48" spans="1:9" ht="17">
      <c r="A48" s="6" t="s">
        <v>157</v>
      </c>
      <c r="B48" s="6" t="s">
        <v>11</v>
      </c>
      <c r="C48" s="6">
        <v>18</v>
      </c>
      <c r="D48" s="6" t="s">
        <v>158</v>
      </c>
      <c r="E48" s="6" t="s">
        <v>69</v>
      </c>
      <c r="F48" s="21">
        <v>6</v>
      </c>
      <c r="G48" s="23">
        <v>112</v>
      </c>
      <c r="H48" s="23">
        <v>17.100000000000001</v>
      </c>
      <c r="I48" s="23">
        <v>13.6</v>
      </c>
    </row>
    <row r="49" spans="1:9" ht="17">
      <c r="A49" s="6" t="s">
        <v>159</v>
      </c>
      <c r="B49" s="6" t="s">
        <v>11</v>
      </c>
      <c r="C49" s="6">
        <v>19</v>
      </c>
      <c r="D49" s="6" t="s">
        <v>160</v>
      </c>
      <c r="E49" s="6" t="s">
        <v>69</v>
      </c>
      <c r="F49" s="21">
        <v>6</v>
      </c>
      <c r="G49" s="23">
        <v>123</v>
      </c>
      <c r="H49" s="23">
        <v>21.1</v>
      </c>
      <c r="I49" s="23">
        <v>13.9</v>
      </c>
    </row>
    <row r="50" spans="1:9" ht="17">
      <c r="A50" s="6" t="s">
        <v>161</v>
      </c>
      <c r="B50" s="6" t="s">
        <v>11</v>
      </c>
      <c r="C50" s="6">
        <v>20</v>
      </c>
      <c r="D50" s="6" t="s">
        <v>162</v>
      </c>
      <c r="E50" s="6" t="s">
        <v>72</v>
      </c>
      <c r="F50" s="21">
        <v>5</v>
      </c>
      <c r="G50" s="23">
        <v>114</v>
      </c>
      <c r="H50" s="23">
        <v>21.1</v>
      </c>
      <c r="I50" s="23">
        <v>16.2</v>
      </c>
    </row>
    <row r="51" spans="1:9" ht="17">
      <c r="A51" s="6" t="s">
        <v>163</v>
      </c>
      <c r="B51" s="6" t="s">
        <v>11</v>
      </c>
      <c r="C51" s="6">
        <v>21</v>
      </c>
      <c r="D51" s="6" t="s">
        <v>164</v>
      </c>
      <c r="E51" s="6" t="s">
        <v>69</v>
      </c>
      <c r="F51" s="21">
        <v>6</v>
      </c>
      <c r="G51" s="23">
        <v>129.5</v>
      </c>
      <c r="H51" s="23">
        <v>25.4</v>
      </c>
      <c r="I51" s="23">
        <v>15.1</v>
      </c>
    </row>
    <row r="52" spans="1:9" ht="17">
      <c r="A52" s="6" t="s">
        <v>165</v>
      </c>
      <c r="B52" s="6" t="s">
        <v>11</v>
      </c>
      <c r="C52" s="6">
        <v>22</v>
      </c>
      <c r="D52" s="6" t="s">
        <v>166</v>
      </c>
      <c r="E52" s="6" t="s">
        <v>72</v>
      </c>
      <c r="F52" s="21">
        <v>6</v>
      </c>
      <c r="G52" s="23">
        <v>126</v>
      </c>
      <c r="H52" s="23">
        <v>23.5</v>
      </c>
      <c r="I52" s="23">
        <v>14.8</v>
      </c>
    </row>
    <row r="53" spans="1:9" ht="17">
      <c r="A53" s="6" t="s">
        <v>167</v>
      </c>
      <c r="B53" s="6" t="s">
        <v>11</v>
      </c>
      <c r="C53" s="6">
        <v>23</v>
      </c>
      <c r="D53" s="6" t="s">
        <v>168</v>
      </c>
      <c r="E53" s="6" t="s">
        <v>72</v>
      </c>
      <c r="F53" s="21">
        <v>6</v>
      </c>
      <c r="G53" s="23">
        <v>119</v>
      </c>
      <c r="H53" s="23">
        <v>24.7</v>
      </c>
      <c r="I53" s="23">
        <v>17.399999999999999</v>
      </c>
    </row>
    <row r="54" spans="1:9" ht="17">
      <c r="A54" s="6" t="s">
        <v>169</v>
      </c>
      <c r="B54" s="6" t="s">
        <v>11</v>
      </c>
      <c r="C54" s="6">
        <v>24</v>
      </c>
      <c r="D54" s="6" t="s">
        <v>170</v>
      </c>
      <c r="E54" s="6" t="s">
        <v>72</v>
      </c>
      <c r="F54" s="21">
        <v>6</v>
      </c>
      <c r="G54" s="23">
        <v>121.5</v>
      </c>
      <c r="H54" s="23">
        <v>20.3</v>
      </c>
      <c r="I54" s="23">
        <v>13.8</v>
      </c>
    </row>
    <row r="55" spans="1:9" ht="17">
      <c r="A55" s="6" t="s">
        <v>171</v>
      </c>
      <c r="B55" s="6" t="s">
        <v>11</v>
      </c>
      <c r="C55" s="6">
        <v>25</v>
      </c>
      <c r="D55" s="6" t="s">
        <v>172</v>
      </c>
      <c r="E55" s="6" t="s">
        <v>72</v>
      </c>
      <c r="F55" s="21">
        <v>6</v>
      </c>
      <c r="G55" s="23">
        <v>112.5</v>
      </c>
      <c r="H55" s="23">
        <v>18.7</v>
      </c>
      <c r="I55" s="23">
        <v>14.8</v>
      </c>
    </row>
    <row r="56" spans="1:9" ht="17">
      <c r="A56" s="6" t="s">
        <v>173</v>
      </c>
      <c r="B56" s="6" t="s">
        <v>11</v>
      </c>
      <c r="C56" s="6">
        <v>26</v>
      </c>
      <c r="D56" s="6" t="s">
        <v>174</v>
      </c>
      <c r="E56" s="6" t="s">
        <v>69</v>
      </c>
      <c r="F56" s="21">
        <v>6</v>
      </c>
      <c r="G56" s="23">
        <v>121.5</v>
      </c>
      <c r="H56" s="23">
        <v>21.7</v>
      </c>
      <c r="I56" s="23">
        <v>14.7</v>
      </c>
    </row>
    <row r="57" spans="1:9" ht="17">
      <c r="A57" s="6" t="s">
        <v>175</v>
      </c>
      <c r="B57" s="6" t="s">
        <v>11</v>
      </c>
      <c r="C57" s="6">
        <v>27</v>
      </c>
      <c r="D57" s="6" t="s">
        <v>176</v>
      </c>
      <c r="E57" s="6" t="s">
        <v>72</v>
      </c>
      <c r="F57" s="21">
        <v>5</v>
      </c>
      <c r="G57" s="23">
        <v>118</v>
      </c>
      <c r="H57" s="23">
        <v>22.3</v>
      </c>
      <c r="I57" s="23">
        <v>16</v>
      </c>
    </row>
    <row r="58" spans="1:9" ht="17">
      <c r="A58" s="6" t="s">
        <v>177</v>
      </c>
      <c r="B58" s="6" t="s">
        <v>11</v>
      </c>
      <c r="C58" s="6">
        <v>28</v>
      </c>
      <c r="D58" s="6" t="s">
        <v>178</v>
      </c>
      <c r="E58" s="6" t="s">
        <v>72</v>
      </c>
      <c r="F58" s="21">
        <v>6</v>
      </c>
      <c r="G58" s="23">
        <v>120</v>
      </c>
      <c r="H58" s="23">
        <v>20.399999999999999</v>
      </c>
      <c r="I58" s="23">
        <v>14.2</v>
      </c>
    </row>
    <row r="59" spans="1:9" ht="17">
      <c r="A59" s="6" t="s">
        <v>179</v>
      </c>
      <c r="B59" s="6" t="s">
        <v>12</v>
      </c>
      <c r="C59" s="6">
        <v>1</v>
      </c>
      <c r="D59" s="6" t="s">
        <v>180</v>
      </c>
      <c r="E59" s="6" t="s">
        <v>72</v>
      </c>
      <c r="F59" s="21">
        <v>6</v>
      </c>
      <c r="G59" s="23">
        <v>115.5</v>
      </c>
      <c r="H59" s="23">
        <v>21.9</v>
      </c>
      <c r="I59" s="23">
        <v>16.399999999999999</v>
      </c>
    </row>
    <row r="60" spans="1:9" ht="17">
      <c r="A60" s="6" t="s">
        <v>181</v>
      </c>
      <c r="B60" s="6" t="s">
        <v>12</v>
      </c>
      <c r="C60" s="6">
        <v>2</v>
      </c>
      <c r="D60" s="6" t="s">
        <v>182</v>
      </c>
      <c r="E60" s="6" t="s">
        <v>72</v>
      </c>
      <c r="F60" s="21">
        <v>6</v>
      </c>
      <c r="G60" s="23">
        <v>112</v>
      </c>
      <c r="H60" s="23">
        <v>17.8</v>
      </c>
      <c r="I60" s="23">
        <v>14.2</v>
      </c>
    </row>
    <row r="61" spans="1:9" ht="17">
      <c r="A61" s="6" t="s">
        <v>183</v>
      </c>
      <c r="B61" s="6" t="s">
        <v>12</v>
      </c>
      <c r="C61" s="6">
        <v>3</v>
      </c>
      <c r="D61" s="6" t="s">
        <v>184</v>
      </c>
      <c r="E61" s="6" t="s">
        <v>69</v>
      </c>
      <c r="F61" s="21">
        <v>6</v>
      </c>
      <c r="G61" s="23">
        <v>118.5</v>
      </c>
      <c r="H61" s="23">
        <v>27.8</v>
      </c>
      <c r="I61" s="23">
        <v>19.8</v>
      </c>
    </row>
    <row r="62" spans="1:9" ht="17">
      <c r="A62" s="6" t="s">
        <v>185</v>
      </c>
      <c r="B62" s="6" t="s">
        <v>12</v>
      </c>
      <c r="C62" s="6">
        <v>4</v>
      </c>
      <c r="D62" s="6" t="s">
        <v>186</v>
      </c>
      <c r="E62" s="6" t="s">
        <v>72</v>
      </c>
      <c r="F62" s="21">
        <v>6</v>
      </c>
      <c r="G62" s="23">
        <v>124</v>
      </c>
      <c r="H62" s="23">
        <v>21</v>
      </c>
      <c r="I62" s="23">
        <v>13.7</v>
      </c>
    </row>
    <row r="63" spans="1:9" ht="17">
      <c r="A63" s="6" t="s">
        <v>187</v>
      </c>
      <c r="B63" s="6" t="s">
        <v>12</v>
      </c>
      <c r="C63" s="6">
        <v>5</v>
      </c>
      <c r="D63" s="6" t="s">
        <v>188</v>
      </c>
      <c r="E63" s="6" t="s">
        <v>72</v>
      </c>
      <c r="F63" s="21">
        <v>6</v>
      </c>
      <c r="G63" s="23">
        <v>120.5</v>
      </c>
      <c r="H63" s="23">
        <v>21.1</v>
      </c>
      <c r="I63" s="23">
        <v>14.5</v>
      </c>
    </row>
    <row r="64" spans="1:9" ht="17">
      <c r="A64" s="6" t="s">
        <v>189</v>
      </c>
      <c r="B64" s="6" t="s">
        <v>12</v>
      </c>
      <c r="C64" s="6">
        <v>6</v>
      </c>
      <c r="D64" s="6" t="s">
        <v>190</v>
      </c>
      <c r="E64" s="6" t="s">
        <v>69</v>
      </c>
      <c r="F64" s="21">
        <v>6</v>
      </c>
      <c r="G64" s="23">
        <v>112.5</v>
      </c>
      <c r="H64" s="23">
        <v>18.3</v>
      </c>
      <c r="I64" s="23">
        <v>14.5</v>
      </c>
    </row>
    <row r="65" spans="1:9" ht="17">
      <c r="A65" s="6" t="s">
        <v>191</v>
      </c>
      <c r="B65" s="6" t="s">
        <v>12</v>
      </c>
      <c r="C65" s="6">
        <v>7</v>
      </c>
      <c r="D65" s="6" t="s">
        <v>192</v>
      </c>
      <c r="E65" s="6" t="s">
        <v>69</v>
      </c>
      <c r="F65" s="21">
        <v>6</v>
      </c>
      <c r="G65" s="23">
        <v>118</v>
      </c>
      <c r="H65" s="23">
        <v>20.9</v>
      </c>
      <c r="I65" s="23">
        <v>15</v>
      </c>
    </row>
    <row r="66" spans="1:9" ht="17">
      <c r="A66" s="6" t="s">
        <v>193</v>
      </c>
      <c r="B66" s="6" t="s">
        <v>12</v>
      </c>
      <c r="C66" s="6">
        <v>8</v>
      </c>
      <c r="D66" s="6" t="s">
        <v>194</v>
      </c>
      <c r="E66" s="6" t="s">
        <v>69</v>
      </c>
      <c r="F66" s="21">
        <v>6</v>
      </c>
      <c r="G66" s="23">
        <v>116</v>
      </c>
      <c r="H66" s="23">
        <v>22.6</v>
      </c>
      <c r="I66" s="23">
        <v>16.8</v>
      </c>
    </row>
    <row r="67" spans="1:9" ht="17">
      <c r="A67" s="6" t="s">
        <v>195</v>
      </c>
      <c r="B67" s="6" t="s">
        <v>12</v>
      </c>
      <c r="C67" s="6">
        <v>9</v>
      </c>
      <c r="D67" s="6" t="s">
        <v>196</v>
      </c>
      <c r="E67" s="6" t="s">
        <v>72</v>
      </c>
      <c r="F67" s="21">
        <v>6</v>
      </c>
      <c r="G67" s="23">
        <v>120</v>
      </c>
      <c r="H67" s="23">
        <v>21.6</v>
      </c>
      <c r="I67" s="23">
        <v>15</v>
      </c>
    </row>
    <row r="68" spans="1:9" ht="17">
      <c r="A68" s="6" t="s">
        <v>197</v>
      </c>
      <c r="B68" s="6" t="s">
        <v>12</v>
      </c>
      <c r="C68" s="6">
        <v>10</v>
      </c>
      <c r="D68" s="6" t="s">
        <v>198</v>
      </c>
      <c r="E68" s="6" t="s">
        <v>72</v>
      </c>
      <c r="F68" s="21">
        <v>6</v>
      </c>
      <c r="G68" s="23">
        <v>124</v>
      </c>
      <c r="H68" s="23">
        <v>21.6</v>
      </c>
      <c r="I68" s="23">
        <v>14</v>
      </c>
    </row>
    <row r="69" spans="1:9" ht="17">
      <c r="A69" s="6" t="s">
        <v>199</v>
      </c>
      <c r="B69" s="6" t="s">
        <v>12</v>
      </c>
      <c r="C69" s="6">
        <v>11</v>
      </c>
      <c r="D69" s="6" t="s">
        <v>200</v>
      </c>
      <c r="E69" s="6" t="s">
        <v>72</v>
      </c>
      <c r="F69" s="21">
        <v>6</v>
      </c>
      <c r="G69" s="23">
        <v>117</v>
      </c>
      <c r="H69" s="23">
        <v>20.100000000000001</v>
      </c>
      <c r="I69" s="23">
        <v>14.7</v>
      </c>
    </row>
    <row r="70" spans="1:9" ht="17">
      <c r="A70" s="6" t="s">
        <v>201</v>
      </c>
      <c r="B70" s="6" t="s">
        <v>12</v>
      </c>
      <c r="C70" s="6">
        <v>12</v>
      </c>
      <c r="D70" s="6" t="s">
        <v>202</v>
      </c>
      <c r="E70" s="6" t="s">
        <v>69</v>
      </c>
      <c r="F70" s="21">
        <v>6</v>
      </c>
      <c r="G70" s="23">
        <v>113</v>
      </c>
      <c r="H70" s="23">
        <v>20</v>
      </c>
      <c r="I70" s="23">
        <v>15.7</v>
      </c>
    </row>
    <row r="71" spans="1:9" ht="17">
      <c r="A71" s="6" t="s">
        <v>203</v>
      </c>
      <c r="B71" s="6" t="s">
        <v>12</v>
      </c>
      <c r="C71" s="6">
        <v>13</v>
      </c>
      <c r="D71" s="6" t="s">
        <v>204</v>
      </c>
      <c r="E71" s="6" t="s">
        <v>72</v>
      </c>
      <c r="F71" s="21">
        <v>6</v>
      </c>
      <c r="G71" s="23">
        <v>119.5</v>
      </c>
      <c r="H71" s="23">
        <v>19.7</v>
      </c>
      <c r="I71" s="23">
        <v>13.8</v>
      </c>
    </row>
    <row r="72" spans="1:9" ht="17">
      <c r="A72" s="6" t="s">
        <v>205</v>
      </c>
      <c r="B72" s="6" t="s">
        <v>12</v>
      </c>
      <c r="C72" s="6">
        <v>14</v>
      </c>
      <c r="D72" s="6" t="s">
        <v>206</v>
      </c>
      <c r="E72" s="6" t="s">
        <v>72</v>
      </c>
      <c r="F72" s="21">
        <v>6</v>
      </c>
      <c r="G72" s="23">
        <v>114.5</v>
      </c>
      <c r="H72" s="23">
        <v>18.100000000000001</v>
      </c>
      <c r="I72" s="23">
        <v>13.8</v>
      </c>
    </row>
    <row r="73" spans="1:9" ht="17">
      <c r="A73" s="6" t="s">
        <v>207</v>
      </c>
      <c r="B73" s="6" t="s">
        <v>12</v>
      </c>
      <c r="C73" s="6">
        <v>15</v>
      </c>
      <c r="D73" s="6" t="s">
        <v>208</v>
      </c>
      <c r="E73" s="6" t="s">
        <v>72</v>
      </c>
      <c r="F73" s="21">
        <v>6</v>
      </c>
      <c r="G73" s="23">
        <v>111.5</v>
      </c>
      <c r="H73" s="23">
        <v>18</v>
      </c>
      <c r="I73" s="23">
        <v>14.5</v>
      </c>
    </row>
    <row r="74" spans="1:9" ht="17">
      <c r="A74" s="6" t="s">
        <v>209</v>
      </c>
      <c r="B74" s="6" t="s">
        <v>12</v>
      </c>
      <c r="C74" s="6">
        <v>16</v>
      </c>
      <c r="D74" s="6" t="s">
        <v>210</v>
      </c>
      <c r="E74" s="6" t="s">
        <v>69</v>
      </c>
      <c r="F74" s="21">
        <v>6</v>
      </c>
      <c r="G74" s="23">
        <v>114</v>
      </c>
      <c r="H74" s="23">
        <v>18.899999999999999</v>
      </c>
      <c r="I74" s="23">
        <v>14.5</v>
      </c>
    </row>
    <row r="75" spans="1:9" ht="17">
      <c r="A75" s="6" t="s">
        <v>211</v>
      </c>
      <c r="B75" s="6" t="s">
        <v>12</v>
      </c>
      <c r="C75" s="6">
        <v>17</v>
      </c>
      <c r="D75" s="6" t="s">
        <v>212</v>
      </c>
      <c r="E75" s="6" t="s">
        <v>69</v>
      </c>
      <c r="F75" s="21">
        <v>6</v>
      </c>
      <c r="G75" s="23">
        <v>113</v>
      </c>
      <c r="H75" s="23">
        <v>14.4</v>
      </c>
      <c r="I75" s="23">
        <v>11.3</v>
      </c>
    </row>
    <row r="76" spans="1:9" ht="17">
      <c r="A76" s="6" t="s">
        <v>213</v>
      </c>
      <c r="B76" s="6" t="s">
        <v>12</v>
      </c>
      <c r="C76" s="6">
        <v>18</v>
      </c>
      <c r="D76" s="6" t="s">
        <v>214</v>
      </c>
      <c r="E76" s="6" t="s">
        <v>72</v>
      </c>
      <c r="F76" s="21">
        <v>6</v>
      </c>
      <c r="G76" s="23">
        <v>115.5</v>
      </c>
      <c r="H76" s="23">
        <v>21.2</v>
      </c>
      <c r="I76" s="23">
        <v>15.9</v>
      </c>
    </row>
    <row r="77" spans="1:9" ht="17">
      <c r="A77" s="6" t="s">
        <v>215</v>
      </c>
      <c r="B77" s="6" t="s">
        <v>12</v>
      </c>
      <c r="C77" s="6">
        <v>19</v>
      </c>
      <c r="D77" s="6" t="s">
        <v>216</v>
      </c>
      <c r="E77" s="6" t="s">
        <v>72</v>
      </c>
      <c r="F77" s="21">
        <v>6</v>
      </c>
      <c r="G77" s="23">
        <v>123</v>
      </c>
      <c r="H77" s="23">
        <v>22.8</v>
      </c>
      <c r="I77" s="23">
        <v>15.1</v>
      </c>
    </row>
    <row r="78" spans="1:9" ht="17">
      <c r="A78" s="6" t="s">
        <v>217</v>
      </c>
      <c r="B78" s="6" t="s">
        <v>12</v>
      </c>
      <c r="C78" s="6">
        <v>20</v>
      </c>
      <c r="D78" s="6" t="s">
        <v>218</v>
      </c>
      <c r="E78" s="6" t="s">
        <v>72</v>
      </c>
      <c r="F78" s="21">
        <v>6</v>
      </c>
      <c r="G78" s="23">
        <v>113</v>
      </c>
      <c r="H78" s="23">
        <v>17.600000000000001</v>
      </c>
      <c r="I78" s="23">
        <v>13.8</v>
      </c>
    </row>
    <row r="79" spans="1:9" ht="17">
      <c r="A79" s="6" t="s">
        <v>219</v>
      </c>
      <c r="B79" s="6" t="s">
        <v>12</v>
      </c>
      <c r="C79" s="6">
        <v>21</v>
      </c>
      <c r="D79" s="6" t="s">
        <v>220</v>
      </c>
      <c r="E79" s="6" t="s">
        <v>69</v>
      </c>
      <c r="F79" s="21">
        <v>6</v>
      </c>
      <c r="G79" s="23">
        <v>116</v>
      </c>
      <c r="H79" s="23">
        <v>21.1</v>
      </c>
      <c r="I79" s="23">
        <v>15.7</v>
      </c>
    </row>
    <row r="80" spans="1:9" ht="17">
      <c r="A80" s="6" t="s">
        <v>221</v>
      </c>
      <c r="B80" s="6" t="s">
        <v>12</v>
      </c>
      <c r="C80" s="6">
        <v>22</v>
      </c>
      <c r="D80" s="6" t="s">
        <v>222</v>
      </c>
      <c r="E80" s="6" t="s">
        <v>69</v>
      </c>
      <c r="F80" s="21">
        <v>6</v>
      </c>
      <c r="G80" s="23">
        <v>112</v>
      </c>
      <c r="H80" s="23">
        <v>18</v>
      </c>
      <c r="I80" s="23">
        <v>14.3</v>
      </c>
    </row>
    <row r="81" spans="1:9" ht="17">
      <c r="A81" s="6" t="s">
        <v>223</v>
      </c>
      <c r="B81" s="6" t="s">
        <v>12</v>
      </c>
      <c r="C81" s="6">
        <v>23</v>
      </c>
      <c r="D81" s="6" t="s">
        <v>224</v>
      </c>
      <c r="E81" s="6" t="s">
        <v>69</v>
      </c>
      <c r="F81" s="21">
        <v>6</v>
      </c>
      <c r="G81" s="23">
        <v>120</v>
      </c>
      <c r="H81" s="23">
        <v>21.3</v>
      </c>
      <c r="I81" s="23">
        <v>14.8</v>
      </c>
    </row>
    <row r="82" spans="1:9" ht="17">
      <c r="A82" s="6" t="s">
        <v>225</v>
      </c>
      <c r="B82" s="6" t="s">
        <v>12</v>
      </c>
      <c r="C82" s="6">
        <v>24</v>
      </c>
      <c r="D82" s="6" t="s">
        <v>226</v>
      </c>
      <c r="E82" s="6" t="s">
        <v>69</v>
      </c>
      <c r="F82" s="21">
        <v>6</v>
      </c>
      <c r="G82" s="23">
        <v>116</v>
      </c>
      <c r="H82" s="23">
        <v>19.3</v>
      </c>
      <c r="I82" s="23">
        <v>14.3</v>
      </c>
    </row>
    <row r="83" spans="1:9" ht="17">
      <c r="A83" s="6" t="s">
        <v>227</v>
      </c>
      <c r="B83" s="6" t="s">
        <v>12</v>
      </c>
      <c r="C83" s="6">
        <v>25</v>
      </c>
      <c r="D83" s="6" t="s">
        <v>228</v>
      </c>
      <c r="E83" s="6" t="s">
        <v>69</v>
      </c>
      <c r="F83" s="21">
        <v>6</v>
      </c>
      <c r="G83" s="23">
        <v>117</v>
      </c>
      <c r="H83" s="23">
        <v>18.8</v>
      </c>
      <c r="I83" s="23">
        <v>13.7</v>
      </c>
    </row>
    <row r="84" spans="1:9" ht="17">
      <c r="A84" s="6" t="s">
        <v>229</v>
      </c>
      <c r="B84" s="6" t="s">
        <v>12</v>
      </c>
      <c r="C84" s="6">
        <v>26</v>
      </c>
      <c r="D84" s="6" t="s">
        <v>230</v>
      </c>
      <c r="E84" s="6" t="s">
        <v>72</v>
      </c>
      <c r="F84" s="21">
        <v>6</v>
      </c>
      <c r="G84" s="23">
        <v>118.5</v>
      </c>
      <c r="H84" s="23">
        <v>31.5</v>
      </c>
      <c r="I84" s="23">
        <v>22.4</v>
      </c>
    </row>
    <row r="85" spans="1:9" ht="17">
      <c r="A85" s="6" t="s">
        <v>231</v>
      </c>
      <c r="B85" s="6" t="s">
        <v>12</v>
      </c>
      <c r="C85" s="6">
        <v>27</v>
      </c>
      <c r="D85" s="6" t="s">
        <v>232</v>
      </c>
      <c r="E85" s="6" t="s">
        <v>72</v>
      </c>
      <c r="F85" s="21">
        <v>6</v>
      </c>
      <c r="G85" s="23">
        <v>115.5</v>
      </c>
      <c r="H85" s="23">
        <v>19.899999999999999</v>
      </c>
      <c r="I85" s="23">
        <v>14.9</v>
      </c>
    </row>
    <row r="86" spans="1:9" ht="17">
      <c r="A86" s="6" t="s">
        <v>233</v>
      </c>
      <c r="B86" s="6" t="s">
        <v>12</v>
      </c>
      <c r="C86" s="6">
        <v>28</v>
      </c>
      <c r="D86" s="6" t="s">
        <v>234</v>
      </c>
      <c r="E86" s="6" t="s">
        <v>69</v>
      </c>
      <c r="F86" s="21">
        <v>6</v>
      </c>
      <c r="G86" s="23">
        <v>121.5</v>
      </c>
      <c r="H86" s="23">
        <v>24</v>
      </c>
      <c r="I86" s="23">
        <v>16.3</v>
      </c>
    </row>
    <row r="87" spans="1:9" ht="17">
      <c r="A87" s="6" t="s">
        <v>235</v>
      </c>
      <c r="B87" s="6" t="s">
        <v>12</v>
      </c>
      <c r="C87" s="6">
        <v>29</v>
      </c>
      <c r="D87" s="6" t="s">
        <v>236</v>
      </c>
      <c r="E87" s="6" t="s">
        <v>69</v>
      </c>
      <c r="F87" s="21">
        <v>6</v>
      </c>
      <c r="G87" s="23">
        <v>125</v>
      </c>
      <c r="H87" s="23">
        <v>22.2</v>
      </c>
      <c r="I87" s="23">
        <v>14.2</v>
      </c>
    </row>
    <row r="88" spans="1:9" ht="17">
      <c r="A88" s="6" t="s">
        <v>237</v>
      </c>
      <c r="B88" s="6" t="s">
        <v>13</v>
      </c>
      <c r="C88" s="6">
        <v>1</v>
      </c>
      <c r="D88" s="6" t="s">
        <v>238</v>
      </c>
      <c r="E88" s="6" t="s">
        <v>69</v>
      </c>
      <c r="F88" s="21">
        <v>7</v>
      </c>
      <c r="G88" s="23">
        <v>121.5</v>
      </c>
      <c r="H88" s="23">
        <v>24</v>
      </c>
      <c r="I88" s="23">
        <v>16.3</v>
      </c>
    </row>
    <row r="89" spans="1:9" ht="17">
      <c r="A89" s="6" t="s">
        <v>239</v>
      </c>
      <c r="B89" s="6" t="s">
        <v>13</v>
      </c>
      <c r="C89" s="6">
        <v>2</v>
      </c>
      <c r="D89" s="6" t="s">
        <v>240</v>
      </c>
      <c r="E89" s="6" t="s">
        <v>69</v>
      </c>
      <c r="F89" s="21">
        <v>7</v>
      </c>
      <c r="G89" s="23">
        <v>122</v>
      </c>
      <c r="H89" s="23">
        <v>21.8</v>
      </c>
      <c r="I89" s="23">
        <v>14.6</v>
      </c>
    </row>
    <row r="90" spans="1:9" ht="17">
      <c r="A90" s="6" t="s">
        <v>241</v>
      </c>
      <c r="B90" s="6" t="s">
        <v>13</v>
      </c>
      <c r="C90" s="6">
        <v>3</v>
      </c>
      <c r="D90" s="6" t="s">
        <v>242</v>
      </c>
      <c r="E90" s="6" t="s">
        <v>69</v>
      </c>
      <c r="F90" s="21">
        <v>7</v>
      </c>
      <c r="G90" s="23">
        <v>124</v>
      </c>
      <c r="H90" s="23">
        <v>25.8</v>
      </c>
      <c r="I90" s="23">
        <v>16.8</v>
      </c>
    </row>
    <row r="91" spans="1:9" ht="17">
      <c r="A91" s="6" t="s">
        <v>243</v>
      </c>
      <c r="B91" s="6" t="s">
        <v>13</v>
      </c>
      <c r="C91" s="6">
        <v>4</v>
      </c>
      <c r="D91" s="6" t="s">
        <v>244</v>
      </c>
      <c r="E91" s="6" t="s">
        <v>69</v>
      </c>
      <c r="F91" s="21">
        <v>7</v>
      </c>
      <c r="G91" s="23">
        <v>119.5</v>
      </c>
      <c r="H91" s="23">
        <v>20.8</v>
      </c>
      <c r="I91" s="23">
        <v>14.6</v>
      </c>
    </row>
    <row r="92" spans="1:9" ht="17">
      <c r="A92" s="6" t="s">
        <v>245</v>
      </c>
      <c r="B92" s="6" t="s">
        <v>13</v>
      </c>
      <c r="C92" s="6">
        <v>5</v>
      </c>
      <c r="D92" s="6" t="s">
        <v>246</v>
      </c>
      <c r="E92" s="6" t="s">
        <v>72</v>
      </c>
      <c r="F92" s="21">
        <v>7</v>
      </c>
      <c r="G92" s="23">
        <v>120.5</v>
      </c>
      <c r="H92" s="23">
        <v>21.3</v>
      </c>
      <c r="I92" s="23">
        <v>14.7</v>
      </c>
    </row>
    <row r="93" spans="1:9" ht="17">
      <c r="A93" s="6" t="s">
        <v>247</v>
      </c>
      <c r="B93" s="6" t="s">
        <v>13</v>
      </c>
      <c r="C93" s="6">
        <v>6</v>
      </c>
      <c r="D93" s="6" t="s">
        <v>248</v>
      </c>
      <c r="E93" s="6" t="s">
        <v>72</v>
      </c>
      <c r="F93" s="21">
        <v>7</v>
      </c>
      <c r="G93" s="23">
        <v>126</v>
      </c>
      <c r="H93" s="23">
        <v>27.2</v>
      </c>
      <c r="I93" s="23">
        <v>17.100000000000001</v>
      </c>
    </row>
    <row r="94" spans="1:9" ht="17">
      <c r="A94" s="6" t="s">
        <v>249</v>
      </c>
      <c r="B94" s="6" t="s">
        <v>13</v>
      </c>
      <c r="C94" s="6">
        <v>7</v>
      </c>
      <c r="D94" s="6" t="s">
        <v>250</v>
      </c>
      <c r="E94" s="6" t="s">
        <v>72</v>
      </c>
      <c r="F94" s="21">
        <v>7</v>
      </c>
      <c r="G94" s="23">
        <v>123</v>
      </c>
      <c r="H94" s="23">
        <v>20.399999999999999</v>
      </c>
      <c r="I94" s="23">
        <v>13.5</v>
      </c>
    </row>
    <row r="95" spans="1:9" ht="17">
      <c r="A95" s="6" t="s">
        <v>251</v>
      </c>
      <c r="B95" s="6" t="s">
        <v>13</v>
      </c>
      <c r="C95" s="6">
        <v>8</v>
      </c>
      <c r="D95" s="6" t="s">
        <v>252</v>
      </c>
      <c r="E95" s="6" t="s">
        <v>72</v>
      </c>
      <c r="F95" s="21">
        <v>7</v>
      </c>
      <c r="G95" s="23">
        <v>120</v>
      </c>
      <c r="H95" s="23">
        <v>19</v>
      </c>
      <c r="I95" s="23">
        <v>13.2</v>
      </c>
    </row>
    <row r="96" spans="1:9" ht="17">
      <c r="A96" s="6" t="s">
        <v>253</v>
      </c>
      <c r="B96" s="6" t="s">
        <v>13</v>
      </c>
      <c r="C96" s="6">
        <v>9</v>
      </c>
      <c r="D96" s="6" t="s">
        <v>254</v>
      </c>
      <c r="E96" s="6" t="s">
        <v>69</v>
      </c>
      <c r="F96" s="21">
        <v>7</v>
      </c>
      <c r="G96" s="23">
        <v>125.5</v>
      </c>
      <c r="H96" s="23">
        <v>21.9</v>
      </c>
      <c r="I96" s="23">
        <v>13.9</v>
      </c>
    </row>
    <row r="97" spans="1:9" ht="17">
      <c r="A97" s="6" t="s">
        <v>255</v>
      </c>
      <c r="B97" s="6" t="s">
        <v>13</v>
      </c>
      <c r="C97" s="6">
        <v>10</v>
      </c>
      <c r="D97" s="6" t="s">
        <v>256</v>
      </c>
      <c r="E97" s="6" t="s">
        <v>72</v>
      </c>
      <c r="F97" s="21">
        <v>7</v>
      </c>
      <c r="G97" s="23">
        <v>120</v>
      </c>
      <c r="H97" s="23">
        <v>22.5</v>
      </c>
      <c r="I97" s="23">
        <v>15.6</v>
      </c>
    </row>
    <row r="98" spans="1:9" ht="17">
      <c r="A98" s="6" t="s">
        <v>257</v>
      </c>
      <c r="B98" s="6" t="s">
        <v>13</v>
      </c>
      <c r="C98" s="6">
        <v>11</v>
      </c>
      <c r="D98" s="6" t="s">
        <v>258</v>
      </c>
      <c r="E98" s="6" t="s">
        <v>69</v>
      </c>
      <c r="F98" s="21">
        <v>7</v>
      </c>
      <c r="G98" s="23">
        <v>121</v>
      </c>
      <c r="H98" s="23">
        <v>20.2</v>
      </c>
      <c r="I98" s="23">
        <v>13.8</v>
      </c>
    </row>
    <row r="99" spans="1:9" ht="17">
      <c r="A99" s="6" t="s">
        <v>259</v>
      </c>
      <c r="B99" s="6" t="s">
        <v>13</v>
      </c>
      <c r="C99" s="6">
        <v>12</v>
      </c>
      <c r="D99" s="6" t="s">
        <v>260</v>
      </c>
      <c r="E99" s="6" t="s">
        <v>72</v>
      </c>
      <c r="F99" s="21">
        <v>6</v>
      </c>
      <c r="G99" s="23">
        <v>120.5</v>
      </c>
      <c r="H99" s="23">
        <v>21.7</v>
      </c>
      <c r="I99" s="23">
        <v>14.9</v>
      </c>
    </row>
    <row r="100" spans="1:9" ht="17">
      <c r="A100" s="6" t="s">
        <v>261</v>
      </c>
      <c r="B100" s="6" t="s">
        <v>13</v>
      </c>
      <c r="C100" s="6">
        <v>13</v>
      </c>
      <c r="D100" s="6" t="s">
        <v>262</v>
      </c>
      <c r="E100" s="6" t="s">
        <v>72</v>
      </c>
      <c r="F100" s="21">
        <v>7</v>
      </c>
      <c r="G100" s="23">
        <v>123.5</v>
      </c>
      <c r="H100" s="23">
        <v>21.9</v>
      </c>
      <c r="I100" s="23">
        <v>14.4</v>
      </c>
    </row>
    <row r="101" spans="1:9" ht="17">
      <c r="A101" s="6" t="s">
        <v>263</v>
      </c>
      <c r="B101" s="6" t="s">
        <v>13</v>
      </c>
      <c r="C101" s="6">
        <v>14</v>
      </c>
      <c r="D101" s="6" t="s">
        <v>264</v>
      </c>
      <c r="E101" s="6" t="s">
        <v>69</v>
      </c>
      <c r="F101" s="21">
        <v>7</v>
      </c>
      <c r="G101" s="23">
        <v>122.5</v>
      </c>
      <c r="H101" s="23">
        <v>19.3</v>
      </c>
      <c r="I101" s="23">
        <v>12.9</v>
      </c>
    </row>
    <row r="102" spans="1:9" ht="17">
      <c r="A102" s="6" t="s">
        <v>265</v>
      </c>
      <c r="B102" s="6" t="s">
        <v>13</v>
      </c>
      <c r="C102" s="6">
        <v>15</v>
      </c>
      <c r="D102" s="6" t="s">
        <v>266</v>
      </c>
      <c r="E102" s="6" t="s">
        <v>69</v>
      </c>
      <c r="F102" s="21">
        <v>7</v>
      </c>
      <c r="G102" s="23">
        <v>128</v>
      </c>
      <c r="H102" s="23">
        <v>29.9</v>
      </c>
      <c r="I102" s="23">
        <v>18.2</v>
      </c>
    </row>
    <row r="103" spans="1:9" ht="17">
      <c r="A103" s="6" t="s">
        <v>267</v>
      </c>
      <c r="B103" s="6" t="s">
        <v>13</v>
      </c>
      <c r="C103" s="6">
        <v>16</v>
      </c>
      <c r="D103" s="6" t="s">
        <v>268</v>
      </c>
      <c r="E103" s="6" t="s">
        <v>72</v>
      </c>
      <c r="F103" s="21">
        <v>7</v>
      </c>
      <c r="G103" s="23">
        <v>122</v>
      </c>
      <c r="H103" s="23">
        <v>21.8</v>
      </c>
      <c r="I103" s="23">
        <v>14.6</v>
      </c>
    </row>
    <row r="104" spans="1:9" ht="17">
      <c r="A104" s="6" t="s">
        <v>269</v>
      </c>
      <c r="B104" s="6" t="s">
        <v>13</v>
      </c>
      <c r="C104" s="6">
        <v>17</v>
      </c>
      <c r="D104" s="6" t="s">
        <v>270</v>
      </c>
      <c r="E104" s="6" t="s">
        <v>72</v>
      </c>
      <c r="F104" s="21">
        <v>7</v>
      </c>
      <c r="G104" s="23">
        <v>132</v>
      </c>
      <c r="H104" s="23">
        <v>29.5</v>
      </c>
      <c r="I104" s="23">
        <v>16.899999999999999</v>
      </c>
    </row>
    <row r="105" spans="1:9" ht="17">
      <c r="A105" s="6" t="s">
        <v>271</v>
      </c>
      <c r="B105" s="6" t="s">
        <v>13</v>
      </c>
      <c r="C105" s="6">
        <v>18</v>
      </c>
      <c r="D105" s="6" t="s">
        <v>272</v>
      </c>
      <c r="E105" s="6" t="s">
        <v>69</v>
      </c>
      <c r="F105" s="21">
        <v>7</v>
      </c>
      <c r="G105" s="23">
        <v>124</v>
      </c>
      <c r="H105" s="23">
        <v>20.9</v>
      </c>
      <c r="I105" s="23">
        <v>13.6</v>
      </c>
    </row>
    <row r="106" spans="1:9" ht="17">
      <c r="A106" s="6" t="s">
        <v>273</v>
      </c>
      <c r="B106" s="6" t="s">
        <v>13</v>
      </c>
      <c r="C106" s="6">
        <v>19</v>
      </c>
      <c r="D106" s="6" t="s">
        <v>274</v>
      </c>
      <c r="E106" s="6" t="s">
        <v>69</v>
      </c>
      <c r="F106" s="21">
        <v>7</v>
      </c>
      <c r="G106" s="23">
        <v>116</v>
      </c>
      <c r="H106" s="23">
        <v>16.899999999999999</v>
      </c>
      <c r="I106" s="23">
        <v>12.6</v>
      </c>
    </row>
    <row r="107" spans="1:9" ht="17">
      <c r="A107" s="6" t="s">
        <v>275</v>
      </c>
      <c r="B107" s="6" t="s">
        <v>13</v>
      </c>
      <c r="C107" s="6">
        <v>20</v>
      </c>
      <c r="D107" s="6" t="s">
        <v>276</v>
      </c>
      <c r="E107" s="6" t="s">
        <v>72</v>
      </c>
      <c r="F107" s="21">
        <v>7</v>
      </c>
      <c r="G107" s="23">
        <v>120.5</v>
      </c>
      <c r="H107" s="23">
        <v>23.5</v>
      </c>
      <c r="I107" s="23">
        <v>16.2</v>
      </c>
    </row>
    <row r="108" spans="1:9" ht="17">
      <c r="A108" s="6" t="s">
        <v>277</v>
      </c>
      <c r="B108" s="6" t="s">
        <v>13</v>
      </c>
      <c r="C108" s="6">
        <v>21</v>
      </c>
      <c r="D108" s="6" t="s">
        <v>278</v>
      </c>
      <c r="E108" s="6" t="s">
        <v>69</v>
      </c>
      <c r="F108" s="21">
        <v>7</v>
      </c>
      <c r="G108" s="23">
        <v>122.5</v>
      </c>
      <c r="H108" s="23">
        <v>22.7</v>
      </c>
      <c r="I108" s="23">
        <v>15.1</v>
      </c>
    </row>
    <row r="109" spans="1:9" ht="17">
      <c r="A109" s="6" t="s">
        <v>279</v>
      </c>
      <c r="B109" s="6" t="s">
        <v>13</v>
      </c>
      <c r="C109" s="6">
        <v>22</v>
      </c>
      <c r="D109" s="6" t="s">
        <v>280</v>
      </c>
      <c r="E109" s="6" t="s">
        <v>69</v>
      </c>
      <c r="F109" s="21">
        <v>7</v>
      </c>
      <c r="G109" s="23">
        <v>109.5</v>
      </c>
      <c r="H109" s="23">
        <v>13.6</v>
      </c>
      <c r="I109" s="23">
        <v>11.3</v>
      </c>
    </row>
    <row r="110" spans="1:9" ht="17">
      <c r="A110" s="6" t="s">
        <v>281</v>
      </c>
      <c r="B110" s="6" t="s">
        <v>13</v>
      </c>
      <c r="C110" s="6">
        <v>23</v>
      </c>
      <c r="D110" s="6" t="s">
        <v>282</v>
      </c>
      <c r="E110" s="6" t="s">
        <v>72</v>
      </c>
      <c r="F110" s="21">
        <v>7</v>
      </c>
      <c r="G110" s="23">
        <v>119</v>
      </c>
      <c r="H110" s="23">
        <v>21.8</v>
      </c>
      <c r="I110" s="23">
        <v>15.4</v>
      </c>
    </row>
    <row r="111" spans="1:9" ht="17">
      <c r="A111" s="6" t="s">
        <v>283</v>
      </c>
      <c r="B111" s="6" t="s">
        <v>13</v>
      </c>
      <c r="C111" s="6">
        <v>24</v>
      </c>
      <c r="D111" s="6" t="s">
        <v>284</v>
      </c>
      <c r="E111" s="6" t="s">
        <v>69</v>
      </c>
      <c r="F111" s="21">
        <v>7</v>
      </c>
      <c r="G111" s="23">
        <v>127</v>
      </c>
      <c r="H111" s="23">
        <v>22.1</v>
      </c>
      <c r="I111" s="23">
        <v>13.7</v>
      </c>
    </row>
    <row r="112" spans="1:9" ht="17">
      <c r="A112" s="6" t="s">
        <v>285</v>
      </c>
      <c r="B112" s="6" t="s">
        <v>13</v>
      </c>
      <c r="C112" s="6">
        <v>25</v>
      </c>
      <c r="D112" s="6" t="s">
        <v>286</v>
      </c>
      <c r="E112" s="6" t="s">
        <v>72</v>
      </c>
      <c r="F112" s="21">
        <v>7</v>
      </c>
      <c r="G112" s="23">
        <v>131.5</v>
      </c>
      <c r="H112" s="23">
        <v>39.700000000000003</v>
      </c>
      <c r="I112" s="23">
        <v>23</v>
      </c>
    </row>
    <row r="113" spans="1:9" ht="17">
      <c r="A113" s="6" t="s">
        <v>287</v>
      </c>
      <c r="B113" s="6" t="s">
        <v>13</v>
      </c>
      <c r="C113" s="6">
        <v>26</v>
      </c>
      <c r="D113" s="6" t="s">
        <v>288</v>
      </c>
      <c r="E113" s="6" t="s">
        <v>72</v>
      </c>
      <c r="F113" s="21">
        <v>7</v>
      </c>
      <c r="G113" s="23">
        <v>119.5</v>
      </c>
      <c r="H113" s="23">
        <v>18.100000000000001</v>
      </c>
      <c r="I113" s="23">
        <v>12.7</v>
      </c>
    </row>
    <row r="114" spans="1:9" ht="17">
      <c r="A114" s="6" t="s">
        <v>289</v>
      </c>
      <c r="B114" s="6" t="s">
        <v>13</v>
      </c>
      <c r="C114" s="6">
        <v>27</v>
      </c>
      <c r="D114" s="6" t="s">
        <v>290</v>
      </c>
      <c r="E114" s="6" t="s">
        <v>69</v>
      </c>
      <c r="F114" s="21">
        <v>7</v>
      </c>
      <c r="G114" s="23">
        <v>118.5</v>
      </c>
      <c r="H114" s="23">
        <v>23</v>
      </c>
      <c r="I114" s="23">
        <v>16.399999999999999</v>
      </c>
    </row>
    <row r="115" spans="1:9" ht="17">
      <c r="A115" s="6" t="s">
        <v>291</v>
      </c>
      <c r="B115" s="6" t="s">
        <v>13</v>
      </c>
      <c r="C115" s="6">
        <v>28</v>
      </c>
      <c r="D115" s="6" t="s">
        <v>292</v>
      </c>
      <c r="E115" s="6" t="s">
        <v>69</v>
      </c>
      <c r="F115" s="21">
        <v>6</v>
      </c>
      <c r="G115" s="23">
        <v>115</v>
      </c>
      <c r="H115" s="23">
        <v>20.3</v>
      </c>
      <c r="I115" s="23">
        <v>15.3</v>
      </c>
    </row>
    <row r="116" spans="1:9" ht="17">
      <c r="A116" s="6" t="s">
        <v>293</v>
      </c>
      <c r="B116" s="6" t="s">
        <v>13</v>
      </c>
      <c r="C116" s="6">
        <v>29</v>
      </c>
      <c r="D116" s="6" t="s">
        <v>294</v>
      </c>
      <c r="E116" s="6" t="s">
        <v>72</v>
      </c>
      <c r="F116" s="21">
        <v>7</v>
      </c>
      <c r="G116" s="23">
        <v>111</v>
      </c>
      <c r="H116" s="23">
        <v>17.100000000000001</v>
      </c>
      <c r="I116" s="23">
        <v>13.9</v>
      </c>
    </row>
    <row r="117" spans="1:9" ht="17">
      <c r="A117" s="6" t="s">
        <v>295</v>
      </c>
      <c r="B117" s="6" t="s">
        <v>13</v>
      </c>
      <c r="C117" s="6">
        <v>30</v>
      </c>
      <c r="D117" s="6" t="s">
        <v>296</v>
      </c>
      <c r="E117" s="6" t="s">
        <v>69</v>
      </c>
      <c r="F117" s="21">
        <v>7</v>
      </c>
      <c r="G117" s="23">
        <v>130</v>
      </c>
      <c r="H117" s="23">
        <v>24.1</v>
      </c>
      <c r="I117" s="23">
        <v>14.3</v>
      </c>
    </row>
    <row r="118" spans="1:9" ht="17">
      <c r="A118" s="6" t="s">
        <v>297</v>
      </c>
      <c r="B118" s="6" t="s">
        <v>14</v>
      </c>
      <c r="C118" s="6">
        <v>1</v>
      </c>
      <c r="D118" s="6" t="s">
        <v>298</v>
      </c>
      <c r="E118" s="6" t="s">
        <v>72</v>
      </c>
      <c r="F118" s="21">
        <v>7</v>
      </c>
      <c r="G118" s="23">
        <v>120.5</v>
      </c>
      <c r="H118" s="23">
        <v>20.7</v>
      </c>
      <c r="I118" s="23">
        <v>14.3</v>
      </c>
    </row>
    <row r="119" spans="1:9" ht="17">
      <c r="A119" s="6" t="s">
        <v>299</v>
      </c>
      <c r="B119" s="6" t="s">
        <v>14</v>
      </c>
      <c r="C119" s="6">
        <v>2</v>
      </c>
      <c r="D119" s="6" t="s">
        <v>300</v>
      </c>
      <c r="E119" s="6" t="s">
        <v>72</v>
      </c>
      <c r="F119" s="21">
        <v>6</v>
      </c>
      <c r="G119" s="23">
        <v>122</v>
      </c>
      <c r="H119" s="23">
        <v>18.7</v>
      </c>
      <c r="I119" s="23">
        <v>12.6</v>
      </c>
    </row>
    <row r="120" spans="1:9" ht="17">
      <c r="A120" s="6" t="s">
        <v>301</v>
      </c>
      <c r="B120" s="6" t="s">
        <v>14</v>
      </c>
      <c r="C120" s="6">
        <v>3</v>
      </c>
      <c r="D120" s="6" t="s">
        <v>302</v>
      </c>
      <c r="E120" s="6" t="s">
        <v>72</v>
      </c>
      <c r="F120" s="21">
        <v>7</v>
      </c>
      <c r="G120" s="23">
        <v>115</v>
      </c>
      <c r="H120" s="23">
        <v>20.2</v>
      </c>
      <c r="I120" s="23">
        <v>15.3</v>
      </c>
    </row>
    <row r="121" spans="1:9" ht="17">
      <c r="A121" s="6" t="s">
        <v>303</v>
      </c>
      <c r="B121" s="6" t="s">
        <v>14</v>
      </c>
      <c r="C121" s="6">
        <v>4</v>
      </c>
      <c r="D121" s="6" t="s">
        <v>304</v>
      </c>
      <c r="E121" s="6" t="s">
        <v>72</v>
      </c>
      <c r="F121" s="21">
        <v>7</v>
      </c>
      <c r="G121" s="23">
        <v>127</v>
      </c>
      <c r="H121" s="23">
        <v>24.5</v>
      </c>
      <c r="I121" s="23">
        <v>15.2</v>
      </c>
    </row>
    <row r="122" spans="1:9" ht="17">
      <c r="A122" s="6" t="s">
        <v>305</v>
      </c>
      <c r="B122" s="6" t="s">
        <v>14</v>
      </c>
      <c r="C122" s="6">
        <v>5</v>
      </c>
      <c r="D122" s="6" t="s">
        <v>306</v>
      </c>
      <c r="E122" s="6" t="s">
        <v>69</v>
      </c>
      <c r="F122" s="21">
        <v>7</v>
      </c>
      <c r="G122" s="23">
        <v>121</v>
      </c>
      <c r="H122" s="23">
        <v>19.8</v>
      </c>
      <c r="I122" s="23">
        <v>13.5</v>
      </c>
    </row>
    <row r="123" spans="1:9" ht="17">
      <c r="A123" s="6" t="s">
        <v>307</v>
      </c>
      <c r="B123" s="6" t="s">
        <v>14</v>
      </c>
      <c r="C123" s="6">
        <v>6</v>
      </c>
      <c r="D123" s="6" t="s">
        <v>308</v>
      </c>
      <c r="E123" s="6" t="s">
        <v>69</v>
      </c>
      <c r="F123" s="21">
        <v>7</v>
      </c>
      <c r="G123" s="23">
        <v>119.5</v>
      </c>
      <c r="H123" s="23">
        <v>22.9</v>
      </c>
      <c r="I123" s="23">
        <v>16</v>
      </c>
    </row>
    <row r="124" spans="1:9" ht="17">
      <c r="A124" s="6" t="s">
        <v>309</v>
      </c>
      <c r="B124" s="6" t="s">
        <v>14</v>
      </c>
      <c r="C124" s="6">
        <v>7</v>
      </c>
      <c r="D124" s="6" t="s">
        <v>310</v>
      </c>
      <c r="E124" s="6" t="s">
        <v>72</v>
      </c>
      <c r="F124" s="21">
        <v>6</v>
      </c>
      <c r="G124" s="23">
        <v>117.5</v>
      </c>
      <c r="H124" s="23">
        <v>20.8</v>
      </c>
      <c r="I124" s="23">
        <v>15.1</v>
      </c>
    </row>
    <row r="125" spans="1:9" ht="17">
      <c r="A125" s="6" t="s">
        <v>311</v>
      </c>
      <c r="B125" s="6" t="s">
        <v>14</v>
      </c>
      <c r="C125" s="6">
        <v>8</v>
      </c>
      <c r="D125" s="6" t="s">
        <v>312</v>
      </c>
      <c r="E125" s="6" t="s">
        <v>72</v>
      </c>
      <c r="F125" s="21">
        <v>7</v>
      </c>
      <c r="G125" s="23">
        <v>129</v>
      </c>
      <c r="H125" s="23">
        <v>26.4</v>
      </c>
      <c r="I125" s="23">
        <v>15.9</v>
      </c>
    </row>
    <row r="126" spans="1:9" ht="17">
      <c r="A126" s="6" t="s">
        <v>313</v>
      </c>
      <c r="B126" s="6" t="s">
        <v>14</v>
      </c>
      <c r="C126" s="6">
        <v>9</v>
      </c>
      <c r="D126" s="6" t="s">
        <v>314</v>
      </c>
      <c r="E126" s="6" t="s">
        <v>69</v>
      </c>
      <c r="F126" s="21">
        <v>7</v>
      </c>
      <c r="G126" s="23">
        <v>120</v>
      </c>
      <c r="H126" s="23">
        <v>27.3</v>
      </c>
      <c r="I126" s="23">
        <v>19</v>
      </c>
    </row>
    <row r="127" spans="1:9" ht="17">
      <c r="A127" s="6" t="s">
        <v>315</v>
      </c>
      <c r="B127" s="6" t="s">
        <v>14</v>
      </c>
      <c r="C127" s="6">
        <v>10</v>
      </c>
      <c r="D127" s="6" t="s">
        <v>316</v>
      </c>
      <c r="E127" s="6" t="s">
        <v>69</v>
      </c>
      <c r="F127" s="21">
        <v>7</v>
      </c>
      <c r="G127" s="23">
        <v>131.5</v>
      </c>
      <c r="H127" s="23">
        <v>23.2</v>
      </c>
      <c r="I127" s="23">
        <v>13.4</v>
      </c>
    </row>
    <row r="128" spans="1:9" ht="17">
      <c r="A128" s="6" t="s">
        <v>317</v>
      </c>
      <c r="B128" s="6" t="s">
        <v>14</v>
      </c>
      <c r="C128" s="6">
        <v>11</v>
      </c>
      <c r="D128" s="6" t="s">
        <v>318</v>
      </c>
      <c r="E128" s="6" t="s">
        <v>69</v>
      </c>
      <c r="F128" s="21">
        <v>7</v>
      </c>
      <c r="G128" s="23">
        <v>119.5</v>
      </c>
      <c r="H128" s="23">
        <v>19.2</v>
      </c>
      <c r="I128" s="23">
        <v>13.4</v>
      </c>
    </row>
    <row r="129" spans="1:9" ht="17">
      <c r="A129" s="6" t="s">
        <v>319</v>
      </c>
      <c r="B129" s="6" t="s">
        <v>14</v>
      </c>
      <c r="C129" s="6">
        <v>12</v>
      </c>
      <c r="D129" s="6" t="s">
        <v>320</v>
      </c>
      <c r="E129" s="6" t="s">
        <v>69</v>
      </c>
      <c r="F129" s="21">
        <v>7</v>
      </c>
      <c r="G129" s="23">
        <v>121.5</v>
      </c>
      <c r="H129" s="23">
        <v>21.2</v>
      </c>
      <c r="I129" s="23">
        <v>14.4</v>
      </c>
    </row>
    <row r="130" spans="1:9" ht="17">
      <c r="A130" s="6" t="s">
        <v>321</v>
      </c>
      <c r="B130" s="6" t="s">
        <v>14</v>
      </c>
      <c r="C130" s="6">
        <v>13</v>
      </c>
      <c r="D130" s="6" t="s">
        <v>322</v>
      </c>
      <c r="E130" s="6" t="s">
        <v>69</v>
      </c>
      <c r="F130" s="21">
        <v>7</v>
      </c>
      <c r="G130" s="23">
        <v>114.5</v>
      </c>
      <c r="H130" s="23">
        <v>19.3</v>
      </c>
      <c r="I130" s="23">
        <v>14.7</v>
      </c>
    </row>
    <row r="131" spans="1:9" ht="17">
      <c r="A131" s="6" t="s">
        <v>323</v>
      </c>
      <c r="B131" s="6" t="s">
        <v>14</v>
      </c>
      <c r="C131" s="6">
        <v>14</v>
      </c>
      <c r="D131" s="6" t="s">
        <v>324</v>
      </c>
      <c r="E131" s="6" t="s">
        <v>69</v>
      </c>
      <c r="F131" s="21">
        <v>7</v>
      </c>
      <c r="G131" s="23">
        <v>121</v>
      </c>
      <c r="H131" s="23">
        <v>21.7</v>
      </c>
      <c r="I131" s="23">
        <v>14.8</v>
      </c>
    </row>
    <row r="132" spans="1:9" ht="17">
      <c r="A132" s="6" t="s">
        <v>325</v>
      </c>
      <c r="B132" s="6" t="s">
        <v>14</v>
      </c>
      <c r="C132" s="6">
        <v>15</v>
      </c>
      <c r="D132" s="6" t="s">
        <v>326</v>
      </c>
      <c r="E132" s="6" t="s">
        <v>72</v>
      </c>
      <c r="F132" s="21">
        <v>6</v>
      </c>
      <c r="G132" s="23">
        <v>123</v>
      </c>
      <c r="H132" s="23">
        <v>20.9</v>
      </c>
      <c r="I132" s="23">
        <v>13.8</v>
      </c>
    </row>
    <row r="133" spans="1:9" ht="17">
      <c r="A133" s="6" t="s">
        <v>327</v>
      </c>
      <c r="B133" s="6" t="s">
        <v>14</v>
      </c>
      <c r="C133" s="6">
        <v>16</v>
      </c>
      <c r="D133" s="6" t="s">
        <v>328</v>
      </c>
      <c r="E133" s="6" t="s">
        <v>72</v>
      </c>
      <c r="F133" s="21">
        <v>7</v>
      </c>
      <c r="G133" s="23">
        <v>129</v>
      </c>
      <c r="H133" s="23">
        <v>27.4</v>
      </c>
      <c r="I133" s="23">
        <v>16.5</v>
      </c>
    </row>
    <row r="134" spans="1:9" ht="17">
      <c r="A134" s="6" t="s">
        <v>329</v>
      </c>
      <c r="B134" s="6" t="s">
        <v>14</v>
      </c>
      <c r="C134" s="6">
        <v>17</v>
      </c>
      <c r="D134" s="6" t="s">
        <v>330</v>
      </c>
      <c r="E134" s="6" t="s">
        <v>69</v>
      </c>
      <c r="F134" s="21">
        <v>7</v>
      </c>
      <c r="G134" s="23">
        <v>119.5</v>
      </c>
      <c r="H134" s="23">
        <v>18.899999999999999</v>
      </c>
      <c r="I134" s="23">
        <v>13.2</v>
      </c>
    </row>
    <row r="135" spans="1:9" ht="17">
      <c r="A135" s="6" t="s">
        <v>331</v>
      </c>
      <c r="B135" s="6" t="s">
        <v>14</v>
      </c>
      <c r="C135" s="6">
        <v>18</v>
      </c>
      <c r="D135" s="6" t="s">
        <v>332</v>
      </c>
      <c r="E135" s="6" t="s">
        <v>69</v>
      </c>
      <c r="F135" s="21">
        <v>7</v>
      </c>
      <c r="G135" s="23">
        <v>119</v>
      </c>
      <c r="H135" s="23">
        <v>18.8</v>
      </c>
      <c r="I135" s="23">
        <v>13.3</v>
      </c>
    </row>
    <row r="136" spans="1:9" ht="17">
      <c r="A136" s="6" t="s">
        <v>333</v>
      </c>
      <c r="B136" s="6" t="s">
        <v>14</v>
      </c>
      <c r="C136" s="6">
        <v>19</v>
      </c>
      <c r="D136" s="6" t="s">
        <v>334</v>
      </c>
      <c r="E136" s="6" t="s">
        <v>69</v>
      </c>
      <c r="F136" s="21">
        <v>7</v>
      </c>
      <c r="G136" s="23">
        <v>128</v>
      </c>
      <c r="H136" s="23">
        <v>27</v>
      </c>
      <c r="I136" s="23">
        <v>16.5</v>
      </c>
    </row>
    <row r="137" spans="1:9" ht="17">
      <c r="A137" s="6" t="s">
        <v>335</v>
      </c>
      <c r="B137" s="6" t="s">
        <v>14</v>
      </c>
      <c r="C137" s="6">
        <v>20</v>
      </c>
      <c r="D137" s="6" t="s">
        <v>336</v>
      </c>
      <c r="E137" s="6" t="s">
        <v>72</v>
      </c>
      <c r="F137" s="21">
        <v>7</v>
      </c>
      <c r="G137" s="23">
        <v>125.5</v>
      </c>
      <c r="H137" s="23">
        <v>26.4</v>
      </c>
      <c r="I137" s="23">
        <v>16.8</v>
      </c>
    </row>
    <row r="138" spans="1:9" ht="17">
      <c r="A138" s="6" t="s">
        <v>337</v>
      </c>
      <c r="B138" s="6" t="s">
        <v>14</v>
      </c>
      <c r="C138" s="6">
        <v>21</v>
      </c>
      <c r="D138" s="6" t="s">
        <v>338</v>
      </c>
      <c r="E138" s="6" t="s">
        <v>69</v>
      </c>
      <c r="F138" s="21">
        <v>6</v>
      </c>
      <c r="G138" s="23">
        <v>117</v>
      </c>
      <c r="H138" s="23">
        <v>19.100000000000001</v>
      </c>
      <c r="I138" s="23">
        <v>14</v>
      </c>
    </row>
    <row r="139" spans="1:9" ht="17">
      <c r="A139" s="6" t="s">
        <v>339</v>
      </c>
      <c r="B139" s="6" t="s">
        <v>14</v>
      </c>
      <c r="C139" s="6">
        <v>22</v>
      </c>
      <c r="D139" s="6" t="s">
        <v>340</v>
      </c>
      <c r="E139" s="6" t="s">
        <v>69</v>
      </c>
      <c r="F139" s="21">
        <v>7</v>
      </c>
      <c r="G139" s="23">
        <v>117.5</v>
      </c>
      <c r="H139" s="23">
        <v>24.6</v>
      </c>
      <c r="I139" s="23">
        <v>17.8</v>
      </c>
    </row>
    <row r="140" spans="1:9" ht="17">
      <c r="A140" s="6" t="s">
        <v>341</v>
      </c>
      <c r="B140" s="6" t="s">
        <v>14</v>
      </c>
      <c r="C140" s="6">
        <v>23</v>
      </c>
      <c r="D140" s="6" t="s">
        <v>342</v>
      </c>
      <c r="E140" s="6" t="s">
        <v>69</v>
      </c>
      <c r="F140" s="21">
        <v>7</v>
      </c>
      <c r="G140" s="23">
        <v>128</v>
      </c>
      <c r="H140" s="23">
        <v>29.4</v>
      </c>
      <c r="I140" s="23">
        <v>17.899999999999999</v>
      </c>
    </row>
    <row r="141" spans="1:9" ht="17">
      <c r="A141" s="6" t="s">
        <v>343</v>
      </c>
      <c r="B141" s="6" t="s">
        <v>14</v>
      </c>
      <c r="C141" s="6">
        <v>24</v>
      </c>
      <c r="D141" s="6" t="s">
        <v>344</v>
      </c>
      <c r="E141" s="6" t="s">
        <v>72</v>
      </c>
      <c r="F141" s="21">
        <v>7</v>
      </c>
      <c r="G141" s="23">
        <v>131</v>
      </c>
      <c r="H141" s="23">
        <v>27.3</v>
      </c>
      <c r="I141" s="23">
        <v>15.9</v>
      </c>
    </row>
    <row r="142" spans="1:9" ht="17">
      <c r="A142" s="6" t="s">
        <v>345</v>
      </c>
      <c r="B142" s="6" t="s">
        <v>14</v>
      </c>
      <c r="C142" s="6">
        <v>25</v>
      </c>
      <c r="D142" s="6" t="s">
        <v>346</v>
      </c>
      <c r="E142" s="6" t="s">
        <v>69</v>
      </c>
      <c r="F142" s="21">
        <v>7</v>
      </c>
      <c r="G142" s="23">
        <v>122.5</v>
      </c>
      <c r="H142" s="23">
        <v>26.8</v>
      </c>
      <c r="I142" s="23">
        <v>17.899999999999999</v>
      </c>
    </row>
    <row r="143" spans="1:9" ht="17">
      <c r="A143" s="6" t="s">
        <v>347</v>
      </c>
      <c r="B143" s="6" t="s">
        <v>14</v>
      </c>
      <c r="C143" s="6">
        <v>26</v>
      </c>
      <c r="D143" s="6" t="s">
        <v>348</v>
      </c>
      <c r="E143" s="6" t="s">
        <v>72</v>
      </c>
      <c r="F143" s="21">
        <v>7</v>
      </c>
      <c r="G143" s="23">
        <v>127</v>
      </c>
      <c r="H143" s="23">
        <v>29.1</v>
      </c>
      <c r="I143" s="23">
        <v>18</v>
      </c>
    </row>
    <row r="144" spans="1:9" ht="17">
      <c r="A144" s="6" t="s">
        <v>349</v>
      </c>
      <c r="B144" s="6" t="s">
        <v>14</v>
      </c>
      <c r="C144" s="6">
        <v>27</v>
      </c>
      <c r="D144" s="6" t="s">
        <v>350</v>
      </c>
      <c r="E144" s="6" t="s">
        <v>72</v>
      </c>
      <c r="F144" s="21">
        <v>6</v>
      </c>
      <c r="G144" s="23">
        <v>127</v>
      </c>
      <c r="H144" s="23">
        <v>25.7</v>
      </c>
      <c r="I144" s="23">
        <v>15.9</v>
      </c>
    </row>
    <row r="145" spans="1:9" ht="17">
      <c r="A145" s="6" t="s">
        <v>351</v>
      </c>
      <c r="B145" s="6" t="s">
        <v>14</v>
      </c>
      <c r="C145" s="6">
        <v>28</v>
      </c>
      <c r="D145" s="6" t="s">
        <v>352</v>
      </c>
      <c r="E145" s="6" t="s">
        <v>69</v>
      </c>
      <c r="F145" s="21">
        <v>7</v>
      </c>
      <c r="G145" s="23">
        <v>126</v>
      </c>
      <c r="H145" s="23">
        <v>28.8</v>
      </c>
      <c r="I145" s="23">
        <v>18.100000000000001</v>
      </c>
    </row>
    <row r="146" spans="1:9" ht="17">
      <c r="A146" s="6" t="s">
        <v>353</v>
      </c>
      <c r="B146" s="6" t="s">
        <v>14</v>
      </c>
      <c r="C146" s="6">
        <v>29</v>
      </c>
      <c r="D146" s="6" t="s">
        <v>354</v>
      </c>
      <c r="E146" s="6" t="s">
        <v>72</v>
      </c>
      <c r="F146" s="21">
        <v>7</v>
      </c>
      <c r="G146" s="23">
        <v>129.5</v>
      </c>
      <c r="H146" s="23">
        <v>37.1</v>
      </c>
      <c r="I146" s="23">
        <v>22.1</v>
      </c>
    </row>
    <row r="147" spans="1:9" ht="17">
      <c r="A147" s="6" t="s">
        <v>355</v>
      </c>
      <c r="B147" s="6" t="s">
        <v>14</v>
      </c>
      <c r="C147" s="6">
        <v>30</v>
      </c>
      <c r="D147" s="6" t="s">
        <v>356</v>
      </c>
      <c r="E147" s="6" t="s">
        <v>69</v>
      </c>
      <c r="F147" s="21">
        <v>7</v>
      </c>
      <c r="G147" s="23">
        <v>124.5</v>
      </c>
      <c r="H147" s="23">
        <v>22.2</v>
      </c>
      <c r="I147" s="23">
        <v>14.3</v>
      </c>
    </row>
    <row r="148" spans="1:9" ht="17">
      <c r="A148" s="6" t="s">
        <v>357</v>
      </c>
      <c r="B148" s="6" t="s">
        <v>15</v>
      </c>
      <c r="C148" s="6">
        <v>1</v>
      </c>
      <c r="D148" s="6" t="s">
        <v>358</v>
      </c>
      <c r="E148" s="6" t="s">
        <v>72</v>
      </c>
      <c r="F148" s="21">
        <v>7</v>
      </c>
      <c r="G148" s="23">
        <v>113.5</v>
      </c>
      <c r="H148" s="23">
        <v>18.899999999999999</v>
      </c>
      <c r="I148" s="23">
        <v>14.7</v>
      </c>
    </row>
    <row r="149" spans="1:9" ht="17">
      <c r="A149" s="6" t="s">
        <v>359</v>
      </c>
      <c r="B149" s="6" t="s">
        <v>15</v>
      </c>
      <c r="C149" s="6">
        <v>2</v>
      </c>
      <c r="D149" s="6" t="s">
        <v>360</v>
      </c>
      <c r="E149" s="6" t="s">
        <v>69</v>
      </c>
      <c r="F149" s="21">
        <v>7</v>
      </c>
      <c r="G149" s="23">
        <v>126</v>
      </c>
      <c r="H149" s="23">
        <v>24.1</v>
      </c>
      <c r="I149" s="23">
        <v>15.2</v>
      </c>
    </row>
    <row r="150" spans="1:9" ht="17">
      <c r="A150" s="6" t="s">
        <v>361</v>
      </c>
      <c r="B150" s="6" t="s">
        <v>15</v>
      </c>
      <c r="C150" s="6">
        <v>3</v>
      </c>
      <c r="D150" s="6" t="s">
        <v>362</v>
      </c>
      <c r="E150" s="6" t="s">
        <v>69</v>
      </c>
      <c r="F150" s="21">
        <v>7</v>
      </c>
      <c r="G150" s="23">
        <v>122.5</v>
      </c>
      <c r="H150" s="23">
        <v>22</v>
      </c>
      <c r="I150" s="23">
        <v>14.7</v>
      </c>
    </row>
    <row r="151" spans="1:9" ht="17">
      <c r="A151" s="6" t="s">
        <v>363</v>
      </c>
      <c r="B151" s="6" t="s">
        <v>15</v>
      </c>
      <c r="C151" s="6">
        <v>4</v>
      </c>
      <c r="D151" s="6" t="s">
        <v>364</v>
      </c>
      <c r="E151" s="6" t="s">
        <v>72</v>
      </c>
      <c r="F151" s="21">
        <v>7</v>
      </c>
      <c r="G151" s="23">
        <v>125</v>
      </c>
      <c r="H151" s="23">
        <v>21.9</v>
      </c>
      <c r="I151" s="23">
        <v>14</v>
      </c>
    </row>
    <row r="152" spans="1:9" ht="17">
      <c r="A152" s="6" t="s">
        <v>365</v>
      </c>
      <c r="B152" s="6" t="s">
        <v>15</v>
      </c>
      <c r="C152" s="6">
        <v>5</v>
      </c>
      <c r="D152" s="6" t="s">
        <v>366</v>
      </c>
      <c r="E152" s="6" t="s">
        <v>69</v>
      </c>
      <c r="F152" s="21">
        <v>7</v>
      </c>
      <c r="G152" s="23">
        <v>119</v>
      </c>
      <c r="H152" s="23">
        <v>18.8</v>
      </c>
      <c r="I152" s="23">
        <v>13.3</v>
      </c>
    </row>
    <row r="153" spans="1:9" ht="17">
      <c r="A153" s="6" t="s">
        <v>367</v>
      </c>
      <c r="B153" s="6" t="s">
        <v>15</v>
      </c>
      <c r="C153" s="6">
        <v>6</v>
      </c>
      <c r="D153" s="6" t="s">
        <v>368</v>
      </c>
      <c r="E153" s="6" t="s">
        <v>72</v>
      </c>
      <c r="F153" s="21">
        <v>7</v>
      </c>
      <c r="G153" s="23">
        <v>123</v>
      </c>
      <c r="H153" s="23">
        <v>19.399999999999999</v>
      </c>
      <c r="I153" s="23">
        <v>12.8</v>
      </c>
    </row>
    <row r="154" spans="1:9" ht="17">
      <c r="A154" s="6" t="s">
        <v>369</v>
      </c>
      <c r="B154" s="6" t="s">
        <v>15</v>
      </c>
      <c r="C154" s="6">
        <v>7</v>
      </c>
      <c r="D154" s="6" t="s">
        <v>370</v>
      </c>
      <c r="E154" s="6" t="s">
        <v>72</v>
      </c>
      <c r="F154" s="21">
        <v>7</v>
      </c>
      <c r="G154" s="23">
        <v>119</v>
      </c>
      <c r="H154" s="23">
        <v>20.3</v>
      </c>
      <c r="I154" s="23">
        <v>14.3</v>
      </c>
    </row>
    <row r="155" spans="1:9" ht="17">
      <c r="A155" s="6" t="s">
        <v>371</v>
      </c>
      <c r="B155" s="6" t="s">
        <v>15</v>
      </c>
      <c r="C155" s="6">
        <v>8</v>
      </c>
      <c r="D155" s="6" t="s">
        <v>372</v>
      </c>
      <c r="E155" s="6" t="s">
        <v>72</v>
      </c>
      <c r="F155" s="21">
        <v>7</v>
      </c>
      <c r="G155" s="23">
        <v>118.5</v>
      </c>
      <c r="H155" s="23">
        <v>25.6</v>
      </c>
      <c r="I155" s="23">
        <v>18.2</v>
      </c>
    </row>
    <row r="156" spans="1:9" ht="17">
      <c r="A156" s="6" t="s">
        <v>373</v>
      </c>
      <c r="B156" s="6" t="s">
        <v>15</v>
      </c>
      <c r="C156" s="6">
        <v>9</v>
      </c>
      <c r="D156" s="6" t="s">
        <v>374</v>
      </c>
      <c r="E156" s="6" t="s">
        <v>69</v>
      </c>
      <c r="F156" s="21">
        <v>7</v>
      </c>
      <c r="G156" s="23">
        <v>125.5</v>
      </c>
      <c r="H156" s="23">
        <v>24.1</v>
      </c>
      <c r="I156" s="23">
        <v>15.3</v>
      </c>
    </row>
    <row r="157" spans="1:9" ht="17">
      <c r="A157" s="6" t="s">
        <v>375</v>
      </c>
      <c r="B157" s="6" t="s">
        <v>15</v>
      </c>
      <c r="C157" s="6">
        <v>10</v>
      </c>
      <c r="D157" s="6" t="s">
        <v>376</v>
      </c>
      <c r="E157" s="6" t="s">
        <v>72</v>
      </c>
      <c r="F157" s="21">
        <v>7</v>
      </c>
      <c r="G157" s="23">
        <v>128</v>
      </c>
      <c r="H157" s="23">
        <v>25</v>
      </c>
      <c r="I157" s="23">
        <v>15.3</v>
      </c>
    </row>
    <row r="158" spans="1:9" ht="17">
      <c r="A158" s="6" t="s">
        <v>377</v>
      </c>
      <c r="B158" s="6" t="s">
        <v>15</v>
      </c>
      <c r="C158" s="6">
        <v>11</v>
      </c>
      <c r="D158" s="6" t="s">
        <v>378</v>
      </c>
      <c r="E158" s="6" t="s">
        <v>72</v>
      </c>
      <c r="F158" s="21">
        <v>7</v>
      </c>
      <c r="G158" s="23">
        <v>124.5</v>
      </c>
      <c r="H158" s="23">
        <v>29.8</v>
      </c>
      <c r="I158" s="23">
        <v>19.2</v>
      </c>
    </row>
    <row r="159" spans="1:9" ht="17">
      <c r="A159" s="6" t="s">
        <v>379</v>
      </c>
      <c r="B159" s="6" t="s">
        <v>15</v>
      </c>
      <c r="C159" s="6">
        <v>12</v>
      </c>
      <c r="D159" s="6" t="s">
        <v>380</v>
      </c>
      <c r="E159" s="6" t="s">
        <v>69</v>
      </c>
      <c r="F159" s="21">
        <v>7</v>
      </c>
      <c r="G159" s="23">
        <v>116.5</v>
      </c>
      <c r="H159" s="23">
        <v>18.899999999999999</v>
      </c>
      <c r="I159" s="23">
        <v>13.9</v>
      </c>
    </row>
    <row r="160" spans="1:9" ht="17">
      <c r="A160" s="6" t="s">
        <v>381</v>
      </c>
      <c r="B160" s="6" t="s">
        <v>15</v>
      </c>
      <c r="C160" s="6">
        <v>13</v>
      </c>
      <c r="D160" s="6" t="s">
        <v>382</v>
      </c>
      <c r="E160" s="6" t="s">
        <v>72</v>
      </c>
      <c r="F160" s="21">
        <v>6</v>
      </c>
      <c r="G160" s="23">
        <v>121.5</v>
      </c>
      <c r="H160" s="23">
        <v>25.8</v>
      </c>
      <c r="I160" s="23">
        <v>17.5</v>
      </c>
    </row>
    <row r="161" spans="1:9" ht="17">
      <c r="A161" s="6" t="s">
        <v>383</v>
      </c>
      <c r="B161" s="6" t="s">
        <v>15</v>
      </c>
      <c r="C161" s="6">
        <v>14</v>
      </c>
      <c r="D161" s="6" t="s">
        <v>384</v>
      </c>
      <c r="E161" s="6" t="s">
        <v>69</v>
      </c>
      <c r="F161" s="21">
        <v>7</v>
      </c>
      <c r="G161" s="23">
        <v>130</v>
      </c>
      <c r="H161" s="23">
        <v>31.4</v>
      </c>
      <c r="I161" s="23">
        <v>18.600000000000001</v>
      </c>
    </row>
    <row r="162" spans="1:9" ht="17">
      <c r="A162" s="6" t="s">
        <v>385</v>
      </c>
      <c r="B162" s="6" t="s">
        <v>15</v>
      </c>
      <c r="C162" s="6">
        <v>15</v>
      </c>
      <c r="D162" s="6" t="s">
        <v>386</v>
      </c>
      <c r="E162" s="6" t="s">
        <v>69</v>
      </c>
      <c r="F162" s="21">
        <v>7</v>
      </c>
      <c r="G162" s="23">
        <v>113</v>
      </c>
      <c r="H162" s="23">
        <v>18</v>
      </c>
      <c r="I162" s="23">
        <v>14.1</v>
      </c>
    </row>
    <row r="163" spans="1:9" ht="17">
      <c r="A163" s="6" t="s">
        <v>387</v>
      </c>
      <c r="B163" s="6" t="s">
        <v>15</v>
      </c>
      <c r="C163" s="6">
        <v>16</v>
      </c>
      <c r="D163" s="6" t="s">
        <v>388</v>
      </c>
      <c r="E163" s="6" t="s">
        <v>69</v>
      </c>
      <c r="F163" s="21">
        <v>7</v>
      </c>
      <c r="G163" s="23">
        <v>124</v>
      </c>
      <c r="H163" s="23">
        <v>21.6</v>
      </c>
      <c r="I163" s="23">
        <v>14</v>
      </c>
    </row>
    <row r="164" spans="1:9" ht="17">
      <c r="A164" s="6" t="s">
        <v>389</v>
      </c>
      <c r="B164" s="6" t="s">
        <v>15</v>
      </c>
      <c r="C164" s="6">
        <v>17</v>
      </c>
      <c r="D164" s="6" t="s">
        <v>390</v>
      </c>
      <c r="E164" s="6" t="s">
        <v>72</v>
      </c>
      <c r="F164" s="21">
        <v>7</v>
      </c>
      <c r="G164" s="23">
        <v>118.5</v>
      </c>
      <c r="H164" s="23">
        <v>19</v>
      </c>
      <c r="I164" s="23">
        <v>13.5</v>
      </c>
    </row>
    <row r="165" spans="1:9" ht="17">
      <c r="A165" s="6" t="s">
        <v>391</v>
      </c>
      <c r="B165" s="6" t="s">
        <v>15</v>
      </c>
      <c r="C165" s="6">
        <v>18</v>
      </c>
      <c r="D165" s="6" t="s">
        <v>392</v>
      </c>
      <c r="E165" s="6" t="s">
        <v>72</v>
      </c>
      <c r="F165" s="21">
        <v>7</v>
      </c>
      <c r="G165" s="23">
        <v>125</v>
      </c>
      <c r="H165" s="23">
        <v>30.5</v>
      </c>
      <c r="I165" s="23">
        <v>19.5</v>
      </c>
    </row>
    <row r="166" spans="1:9" ht="17">
      <c r="A166" s="6" t="s">
        <v>393</v>
      </c>
      <c r="B166" s="6" t="s">
        <v>15</v>
      </c>
      <c r="C166" s="6">
        <v>19</v>
      </c>
      <c r="D166" s="6" t="s">
        <v>394</v>
      </c>
      <c r="E166" s="6" t="s">
        <v>69</v>
      </c>
      <c r="F166" s="21">
        <v>7</v>
      </c>
      <c r="G166" s="23">
        <v>124.5</v>
      </c>
      <c r="H166" s="23">
        <v>29.7</v>
      </c>
      <c r="I166" s="23">
        <v>19.2</v>
      </c>
    </row>
    <row r="167" spans="1:9" ht="17">
      <c r="A167" s="6" t="s">
        <v>395</v>
      </c>
      <c r="B167" s="6" t="s">
        <v>15</v>
      </c>
      <c r="C167" s="6">
        <v>20</v>
      </c>
      <c r="D167" s="6" t="s">
        <v>396</v>
      </c>
      <c r="E167" s="6" t="s">
        <v>69</v>
      </c>
      <c r="F167" s="21">
        <v>7</v>
      </c>
      <c r="G167" s="23">
        <v>113.5</v>
      </c>
      <c r="H167" s="23">
        <v>17.8</v>
      </c>
      <c r="I167" s="23">
        <v>13.8</v>
      </c>
    </row>
    <row r="168" spans="1:9" ht="17">
      <c r="A168" s="6" t="s">
        <v>397</v>
      </c>
      <c r="B168" s="6" t="s">
        <v>15</v>
      </c>
      <c r="C168" s="6">
        <v>21</v>
      </c>
      <c r="D168" s="6" t="s">
        <v>398</v>
      </c>
      <c r="E168" s="6" t="s">
        <v>72</v>
      </c>
      <c r="F168" s="21">
        <v>8</v>
      </c>
      <c r="G168" s="23">
        <v>127.5</v>
      </c>
      <c r="H168" s="23">
        <v>28.3</v>
      </c>
      <c r="I168" s="23">
        <v>17.399999999999999</v>
      </c>
    </row>
    <row r="169" spans="1:9" ht="17">
      <c r="A169" s="6" t="s">
        <v>399</v>
      </c>
      <c r="B169" s="6" t="s">
        <v>15</v>
      </c>
      <c r="C169" s="6">
        <v>22</v>
      </c>
      <c r="D169" s="6" t="s">
        <v>400</v>
      </c>
      <c r="E169" s="6" t="s">
        <v>72</v>
      </c>
      <c r="F169" s="21">
        <v>7</v>
      </c>
      <c r="G169" s="23">
        <v>119.5</v>
      </c>
      <c r="H169" s="23">
        <v>21.7</v>
      </c>
      <c r="I169" s="23">
        <v>15.2</v>
      </c>
    </row>
    <row r="170" spans="1:9" ht="17">
      <c r="A170" s="6" t="s">
        <v>401</v>
      </c>
      <c r="B170" s="6" t="s">
        <v>15</v>
      </c>
      <c r="C170" s="6">
        <v>23</v>
      </c>
      <c r="D170" s="6" t="s">
        <v>402</v>
      </c>
      <c r="E170" s="6" t="s">
        <v>72</v>
      </c>
      <c r="F170" s="21">
        <v>7</v>
      </c>
      <c r="G170" s="23">
        <v>135</v>
      </c>
      <c r="H170" s="23">
        <v>27.6</v>
      </c>
      <c r="I170" s="23">
        <v>15.1</v>
      </c>
    </row>
    <row r="171" spans="1:9" ht="17">
      <c r="A171" s="6" t="s">
        <v>403</v>
      </c>
      <c r="B171" s="6" t="s">
        <v>15</v>
      </c>
      <c r="C171" s="6">
        <v>24</v>
      </c>
      <c r="D171" s="6" t="s">
        <v>404</v>
      </c>
      <c r="E171" s="6" t="s">
        <v>69</v>
      </c>
      <c r="F171" s="21">
        <v>7</v>
      </c>
      <c r="G171" s="23">
        <v>123</v>
      </c>
      <c r="H171" s="23">
        <v>23.6</v>
      </c>
      <c r="I171" s="23">
        <v>15.6</v>
      </c>
    </row>
    <row r="172" spans="1:9" ht="17">
      <c r="A172" s="6" t="s">
        <v>405</v>
      </c>
      <c r="B172" s="6" t="s">
        <v>15</v>
      </c>
      <c r="C172" s="6">
        <v>25</v>
      </c>
      <c r="D172" s="6" t="s">
        <v>406</v>
      </c>
      <c r="E172" s="6" t="s">
        <v>69</v>
      </c>
      <c r="F172" s="21">
        <v>7</v>
      </c>
      <c r="G172" s="23">
        <v>122.5</v>
      </c>
      <c r="H172" s="23">
        <v>23</v>
      </c>
      <c r="I172" s="23">
        <v>15.3</v>
      </c>
    </row>
    <row r="173" spans="1:9" ht="17">
      <c r="A173" s="6" t="s">
        <v>407</v>
      </c>
      <c r="B173" s="6" t="s">
        <v>15</v>
      </c>
      <c r="C173" s="6">
        <v>26</v>
      </c>
      <c r="D173" s="6" t="s">
        <v>408</v>
      </c>
      <c r="E173" s="6" t="s">
        <v>69</v>
      </c>
      <c r="F173" s="21">
        <v>6</v>
      </c>
      <c r="G173" s="23">
        <v>120.5</v>
      </c>
      <c r="H173" s="23">
        <v>22.8</v>
      </c>
      <c r="I173" s="23">
        <v>15.7</v>
      </c>
    </row>
    <row r="174" spans="1:9" ht="17">
      <c r="A174" s="6" t="s">
        <v>409</v>
      </c>
      <c r="B174" s="6" t="s">
        <v>15</v>
      </c>
      <c r="C174" s="6">
        <v>27</v>
      </c>
      <c r="D174" s="6" t="s">
        <v>410</v>
      </c>
      <c r="E174" s="6" t="s">
        <v>69</v>
      </c>
      <c r="F174" s="21">
        <v>7</v>
      </c>
      <c r="G174" s="23">
        <v>130</v>
      </c>
      <c r="H174" s="23">
        <v>26.4</v>
      </c>
      <c r="I174" s="23">
        <v>15.6</v>
      </c>
    </row>
    <row r="175" spans="1:9" ht="17">
      <c r="A175" s="6" t="s">
        <v>411</v>
      </c>
      <c r="B175" s="6" t="s">
        <v>15</v>
      </c>
      <c r="C175" s="6">
        <v>28</v>
      </c>
      <c r="D175" s="6" t="s">
        <v>412</v>
      </c>
      <c r="E175" s="6" t="s">
        <v>72</v>
      </c>
      <c r="F175" s="21">
        <v>7</v>
      </c>
      <c r="G175" s="23">
        <v>119</v>
      </c>
      <c r="H175" s="23">
        <v>21.1</v>
      </c>
      <c r="I175" s="23">
        <v>14.9</v>
      </c>
    </row>
    <row r="176" spans="1:9" ht="17">
      <c r="A176" s="6" t="s">
        <v>413</v>
      </c>
      <c r="B176" s="6" t="s">
        <v>15</v>
      </c>
      <c r="C176" s="6">
        <v>29</v>
      </c>
      <c r="D176" s="6" t="s">
        <v>414</v>
      </c>
      <c r="E176" s="6" t="s">
        <v>72</v>
      </c>
      <c r="F176" s="21">
        <v>7</v>
      </c>
      <c r="G176" s="23">
        <v>113</v>
      </c>
      <c r="H176" s="23">
        <v>18.8</v>
      </c>
      <c r="I176" s="23">
        <v>14.7</v>
      </c>
    </row>
    <row r="177" spans="1:9" ht="17">
      <c r="A177" s="6" t="s">
        <v>415</v>
      </c>
      <c r="B177" s="6" t="s">
        <v>15</v>
      </c>
      <c r="C177" s="6">
        <v>30</v>
      </c>
      <c r="D177" s="6" t="s">
        <v>416</v>
      </c>
      <c r="E177" s="6" t="s">
        <v>69</v>
      </c>
      <c r="F177" s="21">
        <v>7</v>
      </c>
      <c r="G177" s="23">
        <v>114.5</v>
      </c>
      <c r="H177" s="23">
        <v>21.6</v>
      </c>
      <c r="I177" s="23">
        <v>16.5</v>
      </c>
    </row>
    <row r="178" spans="1:9" ht="17">
      <c r="A178" s="6" t="s">
        <v>417</v>
      </c>
      <c r="B178" s="6" t="s">
        <v>16</v>
      </c>
      <c r="C178" s="6">
        <v>1</v>
      </c>
      <c r="D178" s="6" t="s">
        <v>418</v>
      </c>
      <c r="E178" s="6" t="s">
        <v>72</v>
      </c>
      <c r="F178" s="21">
        <v>8</v>
      </c>
      <c r="G178" s="23">
        <v>129</v>
      </c>
      <c r="H178" s="23">
        <v>25.5</v>
      </c>
      <c r="I178" s="23">
        <v>15.3</v>
      </c>
    </row>
    <row r="179" spans="1:9" ht="17">
      <c r="A179" s="6" t="s">
        <v>419</v>
      </c>
      <c r="B179" s="6" t="s">
        <v>16</v>
      </c>
      <c r="C179" s="6">
        <v>2</v>
      </c>
      <c r="D179" s="6" t="s">
        <v>420</v>
      </c>
      <c r="E179" s="6" t="s">
        <v>72</v>
      </c>
      <c r="F179" s="21">
        <v>8</v>
      </c>
      <c r="G179" s="23">
        <v>127.5</v>
      </c>
      <c r="H179" s="23">
        <v>21.8</v>
      </c>
      <c r="I179" s="23">
        <v>13.4</v>
      </c>
    </row>
    <row r="180" spans="1:9" ht="17">
      <c r="A180" s="6" t="s">
        <v>421</v>
      </c>
      <c r="B180" s="6" t="s">
        <v>16</v>
      </c>
      <c r="C180" s="6">
        <v>3</v>
      </c>
      <c r="D180" s="6" t="s">
        <v>422</v>
      </c>
      <c r="E180" s="6" t="s">
        <v>72</v>
      </c>
      <c r="F180" s="21">
        <v>8</v>
      </c>
      <c r="G180" s="23">
        <v>130.5</v>
      </c>
      <c r="H180" s="23">
        <v>23.6</v>
      </c>
      <c r="I180" s="23">
        <v>13.9</v>
      </c>
    </row>
    <row r="181" spans="1:9" ht="17">
      <c r="A181" s="6" t="s">
        <v>423</v>
      </c>
      <c r="B181" s="6" t="s">
        <v>16</v>
      </c>
      <c r="C181" s="6">
        <v>4</v>
      </c>
      <c r="D181" s="6" t="s">
        <v>424</v>
      </c>
      <c r="E181" s="6" t="s">
        <v>69</v>
      </c>
      <c r="F181" s="21">
        <v>8</v>
      </c>
      <c r="G181" s="23">
        <v>127</v>
      </c>
      <c r="H181" s="23">
        <v>29.4</v>
      </c>
      <c r="I181" s="23">
        <v>18.2</v>
      </c>
    </row>
    <row r="182" spans="1:9" ht="17">
      <c r="A182" s="6" t="s">
        <v>425</v>
      </c>
      <c r="B182" s="6" t="s">
        <v>16</v>
      </c>
      <c r="C182" s="6">
        <v>5</v>
      </c>
      <c r="D182" s="6" t="s">
        <v>426</v>
      </c>
      <c r="E182" s="6" t="s">
        <v>72</v>
      </c>
      <c r="F182" s="21">
        <v>7</v>
      </c>
      <c r="G182" s="23">
        <v>122.5</v>
      </c>
      <c r="H182" s="23">
        <v>24</v>
      </c>
      <c r="I182" s="23">
        <v>16</v>
      </c>
    </row>
    <row r="183" spans="1:9" ht="17">
      <c r="A183" s="6" t="s">
        <v>427</v>
      </c>
      <c r="B183" s="6" t="s">
        <v>16</v>
      </c>
      <c r="C183" s="6">
        <v>6</v>
      </c>
      <c r="D183" s="6" t="s">
        <v>428</v>
      </c>
      <c r="E183" s="6" t="s">
        <v>72</v>
      </c>
      <c r="F183" s="21">
        <v>8</v>
      </c>
      <c r="G183" s="23">
        <v>128.5</v>
      </c>
      <c r="H183" s="23">
        <v>24.5</v>
      </c>
      <c r="I183" s="23">
        <v>14.8</v>
      </c>
    </row>
    <row r="184" spans="1:9" ht="17">
      <c r="A184" s="6" t="s">
        <v>429</v>
      </c>
      <c r="B184" s="6" t="s">
        <v>16</v>
      </c>
      <c r="C184" s="6">
        <v>7</v>
      </c>
      <c r="D184" s="6" t="s">
        <v>430</v>
      </c>
      <c r="E184" s="6" t="s">
        <v>69</v>
      </c>
      <c r="F184" s="21">
        <v>7</v>
      </c>
      <c r="G184" s="23">
        <v>122</v>
      </c>
      <c r="H184" s="23">
        <v>22.9</v>
      </c>
      <c r="I184" s="23">
        <v>15.4</v>
      </c>
    </row>
    <row r="185" spans="1:9" ht="17">
      <c r="A185" s="6" t="s">
        <v>431</v>
      </c>
      <c r="B185" s="6" t="s">
        <v>16</v>
      </c>
      <c r="C185" s="6">
        <v>8</v>
      </c>
      <c r="D185" s="6" t="s">
        <v>432</v>
      </c>
      <c r="E185" s="6" t="s">
        <v>72</v>
      </c>
      <c r="F185" s="21">
        <v>8</v>
      </c>
      <c r="G185" s="23">
        <v>124.5</v>
      </c>
      <c r="H185" s="23">
        <v>20.2</v>
      </c>
      <c r="I185" s="23">
        <v>13</v>
      </c>
    </row>
    <row r="186" spans="1:9" ht="17">
      <c r="A186" s="6" t="s">
        <v>433</v>
      </c>
      <c r="B186" s="6" t="s">
        <v>16</v>
      </c>
      <c r="C186" s="6">
        <v>9</v>
      </c>
      <c r="D186" s="6" t="s">
        <v>434</v>
      </c>
      <c r="E186" s="6" t="s">
        <v>69</v>
      </c>
      <c r="F186" s="21">
        <v>8</v>
      </c>
      <c r="G186" s="23">
        <v>130.5</v>
      </c>
      <c r="H186" s="23">
        <v>24.5</v>
      </c>
      <c r="I186" s="23">
        <v>14.4</v>
      </c>
    </row>
    <row r="187" spans="1:9" ht="17">
      <c r="A187" s="6" t="s">
        <v>435</v>
      </c>
      <c r="B187" s="6" t="s">
        <v>16</v>
      </c>
      <c r="C187" s="6">
        <v>10</v>
      </c>
      <c r="D187" s="6" t="s">
        <v>436</v>
      </c>
      <c r="E187" s="6" t="s">
        <v>69</v>
      </c>
      <c r="F187" s="21">
        <v>8</v>
      </c>
      <c r="G187" s="23">
        <v>122.5</v>
      </c>
      <c r="H187" s="23">
        <v>22</v>
      </c>
      <c r="I187" s="23">
        <v>14.7</v>
      </c>
    </row>
    <row r="188" spans="1:9" ht="17">
      <c r="A188" s="6" t="s">
        <v>437</v>
      </c>
      <c r="B188" s="6" t="s">
        <v>16</v>
      </c>
      <c r="C188" s="6">
        <v>11</v>
      </c>
      <c r="D188" s="6" t="s">
        <v>438</v>
      </c>
      <c r="E188" s="6" t="s">
        <v>69</v>
      </c>
      <c r="F188" s="21">
        <v>8</v>
      </c>
      <c r="G188" s="23">
        <v>126.5</v>
      </c>
      <c r="H188" s="23">
        <v>35.4</v>
      </c>
      <c r="I188" s="23">
        <v>22.1</v>
      </c>
    </row>
    <row r="189" spans="1:9" ht="17">
      <c r="A189" s="6" t="s">
        <v>439</v>
      </c>
      <c r="B189" s="6" t="s">
        <v>16</v>
      </c>
      <c r="C189" s="6">
        <v>12</v>
      </c>
      <c r="D189" s="6" t="s">
        <v>440</v>
      </c>
      <c r="E189" s="6" t="s">
        <v>72</v>
      </c>
      <c r="F189" s="21">
        <v>8</v>
      </c>
      <c r="G189" s="23">
        <v>121.5</v>
      </c>
      <c r="H189" s="23">
        <v>21.1</v>
      </c>
      <c r="I189" s="23">
        <v>14.3</v>
      </c>
    </row>
    <row r="190" spans="1:9" ht="17">
      <c r="A190" s="6" t="s">
        <v>441</v>
      </c>
      <c r="B190" s="6" t="s">
        <v>16</v>
      </c>
      <c r="C190" s="6">
        <v>13</v>
      </c>
      <c r="D190" s="6" t="s">
        <v>442</v>
      </c>
      <c r="E190" s="6" t="s">
        <v>72</v>
      </c>
      <c r="F190" s="21">
        <v>7</v>
      </c>
      <c r="G190" s="23">
        <v>130.5</v>
      </c>
      <c r="H190" s="23">
        <v>45.3</v>
      </c>
      <c r="I190" s="23">
        <v>26.6</v>
      </c>
    </row>
    <row r="191" spans="1:9" ht="17">
      <c r="A191" s="6" t="s">
        <v>443</v>
      </c>
      <c r="B191" s="6" t="s">
        <v>16</v>
      </c>
      <c r="C191" s="6">
        <v>14</v>
      </c>
      <c r="D191" s="6" t="s">
        <v>444</v>
      </c>
      <c r="E191" s="6" t="s">
        <v>69</v>
      </c>
      <c r="F191" s="21">
        <v>8</v>
      </c>
      <c r="G191" s="23">
        <v>122.5</v>
      </c>
      <c r="H191" s="23">
        <v>20.7</v>
      </c>
      <c r="I191" s="23">
        <v>13.8</v>
      </c>
    </row>
    <row r="192" spans="1:9" ht="17">
      <c r="A192" s="6" t="s">
        <v>445</v>
      </c>
      <c r="B192" s="6" t="s">
        <v>16</v>
      </c>
      <c r="C192" s="6">
        <v>15</v>
      </c>
      <c r="D192" s="6" t="s">
        <v>446</v>
      </c>
      <c r="E192" s="6" t="s">
        <v>72</v>
      </c>
      <c r="F192" s="21">
        <v>7</v>
      </c>
      <c r="G192" s="23">
        <v>127</v>
      </c>
      <c r="H192" s="23">
        <v>25.9</v>
      </c>
      <c r="I192" s="23">
        <v>16.100000000000001</v>
      </c>
    </row>
    <row r="193" spans="1:9" ht="17">
      <c r="A193" s="6" t="s">
        <v>447</v>
      </c>
      <c r="B193" s="6" t="s">
        <v>16</v>
      </c>
      <c r="C193" s="6">
        <v>16</v>
      </c>
      <c r="D193" s="6" t="s">
        <v>448</v>
      </c>
      <c r="E193" s="6" t="s">
        <v>72</v>
      </c>
      <c r="F193" s="21">
        <v>8</v>
      </c>
      <c r="G193" s="23">
        <v>131.5</v>
      </c>
      <c r="H193" s="23">
        <v>24.6</v>
      </c>
      <c r="I193" s="23">
        <v>14.2</v>
      </c>
    </row>
    <row r="194" spans="1:9" ht="17">
      <c r="A194" s="6" t="s">
        <v>449</v>
      </c>
      <c r="B194" s="6" t="s">
        <v>16</v>
      </c>
      <c r="C194" s="6">
        <v>17</v>
      </c>
      <c r="D194" s="6" t="s">
        <v>450</v>
      </c>
      <c r="E194" s="6" t="s">
        <v>72</v>
      </c>
      <c r="F194" s="21">
        <v>8</v>
      </c>
      <c r="G194" s="23">
        <v>123.5</v>
      </c>
      <c r="H194" s="23">
        <v>24</v>
      </c>
      <c r="I194" s="23">
        <v>15.7</v>
      </c>
    </row>
    <row r="195" spans="1:9" ht="17">
      <c r="A195" s="6" t="s">
        <v>451</v>
      </c>
      <c r="B195" s="6" t="s">
        <v>16</v>
      </c>
      <c r="C195" s="6">
        <v>18</v>
      </c>
      <c r="D195" s="6" t="s">
        <v>452</v>
      </c>
      <c r="E195" s="6" t="s">
        <v>72</v>
      </c>
      <c r="F195" s="21">
        <v>8</v>
      </c>
      <c r="G195" s="23">
        <v>133</v>
      </c>
      <c r="H195" s="23">
        <v>26.7</v>
      </c>
      <c r="I195" s="23">
        <v>15.1</v>
      </c>
    </row>
    <row r="196" spans="1:9" ht="17">
      <c r="A196" s="6" t="s">
        <v>453</v>
      </c>
      <c r="B196" s="6" t="s">
        <v>16</v>
      </c>
      <c r="C196" s="6">
        <v>19</v>
      </c>
      <c r="D196" s="6" t="s">
        <v>454</v>
      </c>
      <c r="E196" s="6" t="s">
        <v>69</v>
      </c>
      <c r="F196" s="21">
        <v>8</v>
      </c>
      <c r="G196" s="23">
        <v>127</v>
      </c>
      <c r="H196" s="23">
        <v>24.6</v>
      </c>
      <c r="I196" s="23">
        <v>15.3</v>
      </c>
    </row>
    <row r="197" spans="1:9" ht="17">
      <c r="A197" s="6" t="s">
        <v>455</v>
      </c>
      <c r="B197" s="6" t="s">
        <v>16</v>
      </c>
      <c r="C197" s="6">
        <v>20</v>
      </c>
      <c r="D197" s="6" t="s">
        <v>456</v>
      </c>
      <c r="E197" s="6" t="s">
        <v>69</v>
      </c>
      <c r="F197" s="21">
        <v>8</v>
      </c>
      <c r="G197" s="23">
        <v>128</v>
      </c>
      <c r="H197" s="23">
        <v>23.2</v>
      </c>
      <c r="I197" s="23">
        <v>14.2</v>
      </c>
    </row>
    <row r="198" spans="1:9" ht="17">
      <c r="A198" s="6" t="s">
        <v>457</v>
      </c>
      <c r="B198" s="6" t="s">
        <v>16</v>
      </c>
      <c r="C198" s="6">
        <v>21</v>
      </c>
      <c r="D198" s="6" t="s">
        <v>458</v>
      </c>
      <c r="E198" s="6" t="s">
        <v>72</v>
      </c>
      <c r="F198" s="21">
        <v>8</v>
      </c>
      <c r="G198" s="23">
        <v>125</v>
      </c>
      <c r="H198" s="23">
        <v>22.1</v>
      </c>
      <c r="I198" s="23">
        <v>14.1</v>
      </c>
    </row>
    <row r="199" spans="1:9" ht="17">
      <c r="A199" s="6" t="s">
        <v>459</v>
      </c>
      <c r="B199" s="6" t="s">
        <v>16</v>
      </c>
      <c r="C199" s="6">
        <v>22</v>
      </c>
      <c r="D199" s="6" t="s">
        <v>460</v>
      </c>
      <c r="E199" s="6" t="s">
        <v>69</v>
      </c>
      <c r="F199" s="21">
        <v>8</v>
      </c>
      <c r="G199" s="23">
        <v>118.5</v>
      </c>
      <c r="H199" s="23">
        <v>19.100000000000001</v>
      </c>
      <c r="I199" s="23">
        <v>13.6</v>
      </c>
    </row>
    <row r="200" spans="1:9" ht="17">
      <c r="A200" s="6" t="s">
        <v>461</v>
      </c>
      <c r="B200" s="6" t="s">
        <v>16</v>
      </c>
      <c r="C200" s="6">
        <v>23</v>
      </c>
      <c r="D200" s="6" t="s">
        <v>462</v>
      </c>
      <c r="E200" s="6" t="s">
        <v>69</v>
      </c>
      <c r="F200" s="21">
        <v>8</v>
      </c>
      <c r="G200" s="23">
        <v>131</v>
      </c>
      <c r="H200" s="23">
        <v>25.5</v>
      </c>
      <c r="I200" s="23">
        <v>14.9</v>
      </c>
    </row>
    <row r="201" spans="1:9" ht="17">
      <c r="A201" s="6" t="s">
        <v>463</v>
      </c>
      <c r="B201" s="6" t="s">
        <v>16</v>
      </c>
      <c r="C201" s="6">
        <v>24</v>
      </c>
      <c r="D201" s="6" t="s">
        <v>464</v>
      </c>
      <c r="E201" s="6" t="s">
        <v>69</v>
      </c>
      <c r="F201" s="21">
        <v>7</v>
      </c>
      <c r="G201" s="23">
        <v>123</v>
      </c>
      <c r="H201" s="23">
        <v>26.5</v>
      </c>
      <c r="I201" s="23">
        <v>17.5</v>
      </c>
    </row>
    <row r="202" spans="1:9" ht="17">
      <c r="A202" s="6" t="s">
        <v>465</v>
      </c>
      <c r="B202" s="6" t="s">
        <v>16</v>
      </c>
      <c r="C202" s="6">
        <v>25</v>
      </c>
      <c r="D202" s="6" t="s">
        <v>466</v>
      </c>
      <c r="E202" s="6" t="s">
        <v>69</v>
      </c>
      <c r="F202" s="21">
        <v>8</v>
      </c>
      <c r="G202" s="23">
        <v>130.5</v>
      </c>
      <c r="H202" s="23">
        <v>21.9</v>
      </c>
      <c r="I202" s="23">
        <v>12.9</v>
      </c>
    </row>
    <row r="203" spans="1:9" ht="17">
      <c r="A203" s="6" t="s">
        <v>467</v>
      </c>
      <c r="B203" s="6" t="s">
        <v>16</v>
      </c>
      <c r="C203" s="6">
        <v>26</v>
      </c>
      <c r="D203" s="6" t="s">
        <v>468</v>
      </c>
      <c r="E203" s="6" t="s">
        <v>72</v>
      </c>
      <c r="F203" s="21">
        <v>8</v>
      </c>
      <c r="G203" s="23">
        <v>142.5</v>
      </c>
      <c r="H203" s="23">
        <v>34.6</v>
      </c>
      <c r="I203" s="23">
        <v>17</v>
      </c>
    </row>
    <row r="204" spans="1:9" ht="17">
      <c r="A204" s="6" t="s">
        <v>469</v>
      </c>
      <c r="B204" s="6" t="s">
        <v>16</v>
      </c>
      <c r="C204" s="6">
        <v>27</v>
      </c>
      <c r="D204" s="6" t="s">
        <v>470</v>
      </c>
      <c r="E204" s="6" t="s">
        <v>69</v>
      </c>
      <c r="F204" s="21">
        <v>8</v>
      </c>
      <c r="G204" s="23">
        <v>127.5</v>
      </c>
      <c r="H204" s="23">
        <v>25.9</v>
      </c>
      <c r="I204" s="23">
        <v>15.9</v>
      </c>
    </row>
    <row r="205" spans="1:9" ht="17">
      <c r="A205" s="6" t="s">
        <v>471</v>
      </c>
      <c r="B205" s="6" t="s">
        <v>16</v>
      </c>
      <c r="C205" s="6">
        <v>28</v>
      </c>
      <c r="D205" s="6" t="s">
        <v>472</v>
      </c>
      <c r="E205" s="6" t="s">
        <v>69</v>
      </c>
      <c r="F205" s="21">
        <v>7</v>
      </c>
      <c r="G205" s="23">
        <v>117</v>
      </c>
      <c r="H205" s="23">
        <v>18.2</v>
      </c>
      <c r="I205" s="23">
        <v>13.3</v>
      </c>
    </row>
    <row r="206" spans="1:9" ht="17">
      <c r="A206" s="6" t="s">
        <v>473</v>
      </c>
      <c r="B206" s="6" t="s">
        <v>16</v>
      </c>
      <c r="C206" s="6">
        <v>29</v>
      </c>
      <c r="D206" s="6" t="s">
        <v>474</v>
      </c>
      <c r="E206" s="6" t="s">
        <v>69</v>
      </c>
      <c r="F206" s="21">
        <v>8</v>
      </c>
      <c r="G206" s="23">
        <v>130</v>
      </c>
      <c r="H206" s="23">
        <v>24.5</v>
      </c>
      <c r="I206" s="23">
        <v>14.5</v>
      </c>
    </row>
    <row r="207" spans="1:9" ht="17">
      <c r="A207" s="6" t="s">
        <v>475</v>
      </c>
      <c r="B207" s="6" t="s">
        <v>17</v>
      </c>
      <c r="C207" s="6">
        <v>1</v>
      </c>
      <c r="D207" s="6" t="s">
        <v>476</v>
      </c>
      <c r="E207" s="6" t="s">
        <v>69</v>
      </c>
      <c r="F207" s="21">
        <v>8</v>
      </c>
      <c r="G207" s="23">
        <v>122.5</v>
      </c>
      <c r="H207" s="23">
        <v>21.7</v>
      </c>
      <c r="I207" s="23">
        <v>14.5</v>
      </c>
    </row>
    <row r="208" spans="1:9" ht="17">
      <c r="A208" s="6" t="s">
        <v>477</v>
      </c>
      <c r="B208" s="6" t="s">
        <v>17</v>
      </c>
      <c r="C208" s="6">
        <v>2</v>
      </c>
      <c r="D208" s="6" t="s">
        <v>478</v>
      </c>
      <c r="E208" s="6" t="s">
        <v>69</v>
      </c>
      <c r="F208" s="21">
        <v>8</v>
      </c>
      <c r="G208" s="23">
        <v>128.5</v>
      </c>
      <c r="H208" s="23">
        <v>25.4</v>
      </c>
      <c r="I208" s="23">
        <v>15.4</v>
      </c>
    </row>
    <row r="209" spans="1:9" ht="17">
      <c r="A209" s="6" t="s">
        <v>479</v>
      </c>
      <c r="B209" s="6" t="s">
        <v>17</v>
      </c>
      <c r="C209" s="6">
        <v>3</v>
      </c>
      <c r="D209" s="6" t="s">
        <v>480</v>
      </c>
      <c r="E209" s="6" t="s">
        <v>69</v>
      </c>
      <c r="F209" s="21">
        <v>7</v>
      </c>
      <c r="G209" s="23">
        <v>121.5</v>
      </c>
      <c r="H209" s="23">
        <v>24.3</v>
      </c>
      <c r="I209" s="23">
        <v>16.5</v>
      </c>
    </row>
    <row r="210" spans="1:9" ht="17">
      <c r="A210" s="6" t="s">
        <v>481</v>
      </c>
      <c r="B210" s="6" t="s">
        <v>17</v>
      </c>
      <c r="C210" s="6">
        <v>4</v>
      </c>
      <c r="D210" s="6" t="s">
        <v>482</v>
      </c>
      <c r="E210" s="6" t="s">
        <v>72</v>
      </c>
      <c r="F210" s="21">
        <v>8</v>
      </c>
      <c r="G210" s="23">
        <v>139.5</v>
      </c>
      <c r="H210" s="23">
        <v>31</v>
      </c>
      <c r="I210" s="23">
        <v>15.9</v>
      </c>
    </row>
    <row r="211" spans="1:9" ht="17">
      <c r="A211" s="6" t="s">
        <v>483</v>
      </c>
      <c r="B211" s="6" t="s">
        <v>17</v>
      </c>
      <c r="C211" s="6">
        <v>5</v>
      </c>
      <c r="D211" s="6" t="s">
        <v>484</v>
      </c>
      <c r="E211" s="6" t="s">
        <v>69</v>
      </c>
      <c r="F211" s="21">
        <v>7</v>
      </c>
      <c r="G211" s="23">
        <v>129</v>
      </c>
      <c r="H211" s="23">
        <v>29</v>
      </c>
      <c r="I211" s="23">
        <v>17.399999999999999</v>
      </c>
    </row>
    <row r="212" spans="1:9" ht="17">
      <c r="A212" s="6" t="s">
        <v>485</v>
      </c>
      <c r="B212" s="6" t="s">
        <v>17</v>
      </c>
      <c r="C212" s="6">
        <v>6</v>
      </c>
      <c r="D212" s="6" t="s">
        <v>486</v>
      </c>
      <c r="E212" s="6" t="s">
        <v>69</v>
      </c>
      <c r="F212" s="21">
        <v>7</v>
      </c>
      <c r="G212" s="23">
        <v>131.5</v>
      </c>
      <c r="H212" s="23">
        <v>24.7</v>
      </c>
      <c r="I212" s="23">
        <v>14.3</v>
      </c>
    </row>
    <row r="213" spans="1:9" ht="17">
      <c r="A213" s="6" t="s">
        <v>487</v>
      </c>
      <c r="B213" s="6" t="s">
        <v>17</v>
      </c>
      <c r="C213" s="6">
        <v>7</v>
      </c>
      <c r="D213" s="6" t="s">
        <v>488</v>
      </c>
      <c r="E213" s="6" t="s">
        <v>72</v>
      </c>
      <c r="F213" s="21">
        <v>8</v>
      </c>
      <c r="G213" s="23">
        <v>129</v>
      </c>
      <c r="H213" s="23">
        <v>35.200000000000003</v>
      </c>
      <c r="I213" s="23">
        <v>21.2</v>
      </c>
    </row>
    <row r="214" spans="1:9" ht="17">
      <c r="A214" s="6" t="s">
        <v>489</v>
      </c>
      <c r="B214" s="6" t="s">
        <v>17</v>
      </c>
      <c r="C214" s="6">
        <v>8</v>
      </c>
      <c r="D214" s="6" t="s">
        <v>490</v>
      </c>
      <c r="E214" s="6" t="s">
        <v>72</v>
      </c>
      <c r="F214" s="21">
        <v>8</v>
      </c>
      <c r="G214" s="23">
        <v>132.5</v>
      </c>
      <c r="H214" s="23">
        <v>31.4</v>
      </c>
      <c r="I214" s="23">
        <v>17.899999999999999</v>
      </c>
    </row>
    <row r="215" spans="1:9" ht="17">
      <c r="A215" s="6" t="s">
        <v>491</v>
      </c>
      <c r="B215" s="6" t="s">
        <v>17</v>
      </c>
      <c r="C215" s="6">
        <v>9</v>
      </c>
      <c r="D215" s="6" t="s">
        <v>492</v>
      </c>
      <c r="E215" s="6" t="s">
        <v>72</v>
      </c>
      <c r="F215" s="21">
        <v>8</v>
      </c>
      <c r="G215" s="23">
        <v>129.5</v>
      </c>
      <c r="H215" s="23">
        <v>39.799999999999997</v>
      </c>
      <c r="I215" s="23">
        <v>23.7</v>
      </c>
    </row>
    <row r="216" spans="1:9" ht="17">
      <c r="A216" s="6" t="s">
        <v>493</v>
      </c>
      <c r="B216" s="6" t="s">
        <v>17</v>
      </c>
      <c r="C216" s="6">
        <v>10</v>
      </c>
      <c r="D216" s="6" t="s">
        <v>494</v>
      </c>
      <c r="E216" s="6" t="s">
        <v>72</v>
      </c>
      <c r="F216" s="21">
        <v>8</v>
      </c>
      <c r="G216" s="23">
        <v>126.5</v>
      </c>
      <c r="H216" s="23">
        <v>23.5</v>
      </c>
      <c r="I216" s="23">
        <v>14.7</v>
      </c>
    </row>
    <row r="217" spans="1:9" ht="17">
      <c r="A217" s="6" t="s">
        <v>495</v>
      </c>
      <c r="B217" s="6" t="s">
        <v>17</v>
      </c>
      <c r="C217" s="6">
        <v>11</v>
      </c>
      <c r="D217" s="6" t="s">
        <v>496</v>
      </c>
      <c r="E217" s="6" t="s">
        <v>72</v>
      </c>
      <c r="F217" s="21">
        <v>8</v>
      </c>
      <c r="G217" s="23">
        <v>130.5</v>
      </c>
      <c r="H217" s="23">
        <v>28.7</v>
      </c>
      <c r="I217" s="23">
        <v>16.899999999999999</v>
      </c>
    </row>
    <row r="218" spans="1:9" ht="17">
      <c r="A218" s="6" t="s">
        <v>497</v>
      </c>
      <c r="B218" s="6" t="s">
        <v>17</v>
      </c>
      <c r="C218" s="6">
        <v>12</v>
      </c>
      <c r="D218" s="6" t="s">
        <v>498</v>
      </c>
      <c r="E218" s="6" t="s">
        <v>72</v>
      </c>
      <c r="F218" s="21">
        <v>8</v>
      </c>
      <c r="G218" s="23">
        <v>121.5</v>
      </c>
      <c r="H218" s="23">
        <v>25.9</v>
      </c>
      <c r="I218" s="23">
        <v>17.5</v>
      </c>
    </row>
    <row r="219" spans="1:9" ht="17">
      <c r="A219" s="6" t="s">
        <v>499</v>
      </c>
      <c r="B219" s="6" t="s">
        <v>17</v>
      </c>
      <c r="C219" s="6">
        <v>13</v>
      </c>
      <c r="D219" s="6" t="s">
        <v>500</v>
      </c>
      <c r="E219" s="6" t="s">
        <v>72</v>
      </c>
      <c r="F219" s="21">
        <v>8</v>
      </c>
      <c r="G219" s="23">
        <v>134.5</v>
      </c>
      <c r="H219" s="23">
        <v>28.7</v>
      </c>
      <c r="I219" s="23">
        <v>15.9</v>
      </c>
    </row>
    <row r="220" spans="1:9" ht="17">
      <c r="A220" s="6" t="s">
        <v>501</v>
      </c>
      <c r="B220" s="6" t="s">
        <v>17</v>
      </c>
      <c r="C220" s="6">
        <v>14</v>
      </c>
      <c r="D220" s="6" t="s">
        <v>502</v>
      </c>
      <c r="E220" s="6" t="s">
        <v>72</v>
      </c>
      <c r="F220" s="21">
        <v>7</v>
      </c>
      <c r="G220" s="23">
        <v>123.5</v>
      </c>
      <c r="H220" s="23">
        <v>26</v>
      </c>
      <c r="I220" s="23">
        <v>17</v>
      </c>
    </row>
    <row r="221" spans="1:9" ht="17">
      <c r="A221" s="6" t="s">
        <v>503</v>
      </c>
      <c r="B221" s="6" t="s">
        <v>17</v>
      </c>
      <c r="C221" s="6">
        <v>15</v>
      </c>
      <c r="D221" s="6" t="s">
        <v>504</v>
      </c>
      <c r="E221" s="6" t="s">
        <v>72</v>
      </c>
      <c r="F221" s="21">
        <v>8</v>
      </c>
      <c r="G221" s="23">
        <v>128.5</v>
      </c>
      <c r="H221" s="23">
        <v>25.3</v>
      </c>
      <c r="I221" s="23">
        <v>15.3</v>
      </c>
    </row>
    <row r="222" spans="1:9" ht="17">
      <c r="A222" s="6" t="s">
        <v>505</v>
      </c>
      <c r="B222" s="6" t="s">
        <v>17</v>
      </c>
      <c r="C222" s="6">
        <v>16</v>
      </c>
      <c r="D222" s="6" t="s">
        <v>506</v>
      </c>
      <c r="E222" s="6" t="s">
        <v>72</v>
      </c>
      <c r="F222" s="21">
        <v>7</v>
      </c>
      <c r="G222" s="23">
        <v>123.5</v>
      </c>
      <c r="H222" s="23">
        <v>21.1</v>
      </c>
      <c r="I222" s="23">
        <v>13.8</v>
      </c>
    </row>
    <row r="223" spans="1:9" ht="17">
      <c r="A223" s="6" t="s">
        <v>507</v>
      </c>
      <c r="B223" s="6" t="s">
        <v>17</v>
      </c>
      <c r="C223" s="6">
        <v>17</v>
      </c>
      <c r="D223" s="6" t="s">
        <v>508</v>
      </c>
      <c r="E223" s="6" t="s">
        <v>72</v>
      </c>
      <c r="F223" s="21">
        <v>8</v>
      </c>
      <c r="G223" s="23">
        <v>130.5</v>
      </c>
      <c r="H223" s="23">
        <v>27.9</v>
      </c>
      <c r="I223" s="23">
        <v>16.399999999999999</v>
      </c>
    </row>
    <row r="224" spans="1:9" ht="17">
      <c r="A224" s="6" t="s">
        <v>509</v>
      </c>
      <c r="B224" s="6" t="s">
        <v>17</v>
      </c>
      <c r="C224" s="6">
        <v>18</v>
      </c>
      <c r="D224" s="6" t="s">
        <v>510</v>
      </c>
      <c r="E224" s="6" t="s">
        <v>72</v>
      </c>
      <c r="F224" s="21">
        <v>8</v>
      </c>
      <c r="G224" s="23">
        <v>130.5</v>
      </c>
      <c r="H224" s="23">
        <v>24.1</v>
      </c>
      <c r="I224" s="23">
        <v>14.2</v>
      </c>
    </row>
    <row r="225" spans="1:9" ht="17">
      <c r="A225" s="6" t="s">
        <v>511</v>
      </c>
      <c r="B225" s="6" t="s">
        <v>17</v>
      </c>
      <c r="C225" s="6">
        <v>19</v>
      </c>
      <c r="D225" s="6" t="s">
        <v>512</v>
      </c>
      <c r="E225" s="6" t="s">
        <v>69</v>
      </c>
      <c r="F225" s="21">
        <v>8</v>
      </c>
      <c r="G225" s="23">
        <v>124.5</v>
      </c>
      <c r="H225" s="23">
        <v>24.1</v>
      </c>
      <c r="I225" s="23">
        <v>15.5</v>
      </c>
    </row>
    <row r="226" spans="1:9" ht="17">
      <c r="A226" s="6" t="s">
        <v>513</v>
      </c>
      <c r="B226" s="6" t="s">
        <v>17</v>
      </c>
      <c r="C226" s="6">
        <v>20</v>
      </c>
      <c r="D226" s="6" t="s">
        <v>514</v>
      </c>
      <c r="E226" s="6" t="s">
        <v>69</v>
      </c>
      <c r="F226" s="21">
        <v>8</v>
      </c>
      <c r="G226" s="23">
        <v>131.5</v>
      </c>
      <c r="H226" s="23">
        <v>23.5</v>
      </c>
      <c r="I226" s="23">
        <v>13.6</v>
      </c>
    </row>
    <row r="227" spans="1:9" ht="17">
      <c r="A227" s="6" t="s">
        <v>515</v>
      </c>
      <c r="B227" s="6" t="s">
        <v>17</v>
      </c>
      <c r="C227" s="6">
        <v>21</v>
      </c>
      <c r="D227" s="6" t="s">
        <v>516</v>
      </c>
      <c r="E227" s="6" t="s">
        <v>72</v>
      </c>
      <c r="F227" s="21">
        <v>8</v>
      </c>
      <c r="G227" s="23">
        <v>127</v>
      </c>
      <c r="H227" s="23">
        <v>26.8</v>
      </c>
      <c r="I227" s="23">
        <v>16.600000000000001</v>
      </c>
    </row>
    <row r="228" spans="1:9" ht="17">
      <c r="A228" s="6" t="s">
        <v>517</v>
      </c>
      <c r="B228" s="6" t="s">
        <v>17</v>
      </c>
      <c r="C228" s="6">
        <v>22</v>
      </c>
      <c r="D228" s="6" t="s">
        <v>518</v>
      </c>
      <c r="E228" s="6" t="s">
        <v>72</v>
      </c>
      <c r="F228" s="21">
        <v>7</v>
      </c>
      <c r="G228" s="23">
        <v>131</v>
      </c>
      <c r="H228" s="23">
        <v>38.700000000000003</v>
      </c>
      <c r="I228" s="23">
        <v>22.6</v>
      </c>
    </row>
    <row r="229" spans="1:9" ht="17">
      <c r="A229" s="6" t="s">
        <v>519</v>
      </c>
      <c r="B229" s="6" t="s">
        <v>17</v>
      </c>
      <c r="C229" s="6">
        <v>23</v>
      </c>
      <c r="D229" s="6" t="s">
        <v>520</v>
      </c>
      <c r="E229" s="6" t="s">
        <v>69</v>
      </c>
      <c r="F229" s="21">
        <v>8</v>
      </c>
      <c r="G229" s="23">
        <v>127</v>
      </c>
      <c r="H229" s="23">
        <v>28.8</v>
      </c>
      <c r="I229" s="23">
        <v>17.899999999999999</v>
      </c>
    </row>
    <row r="230" spans="1:9" ht="17">
      <c r="A230" s="6" t="s">
        <v>521</v>
      </c>
      <c r="B230" s="6" t="s">
        <v>17</v>
      </c>
      <c r="C230" s="6">
        <v>24</v>
      </c>
      <c r="D230" s="6" t="s">
        <v>522</v>
      </c>
      <c r="E230" s="6" t="s">
        <v>72</v>
      </c>
      <c r="F230" s="21">
        <v>8</v>
      </c>
      <c r="G230" s="23">
        <v>125.5</v>
      </c>
      <c r="H230" s="23">
        <v>25.3</v>
      </c>
      <c r="I230" s="23">
        <v>16.100000000000001</v>
      </c>
    </row>
    <row r="231" spans="1:9" ht="17">
      <c r="A231" s="6" t="s">
        <v>523</v>
      </c>
      <c r="B231" s="6" t="s">
        <v>17</v>
      </c>
      <c r="C231" s="6">
        <v>25</v>
      </c>
      <c r="D231" s="6" t="s">
        <v>524</v>
      </c>
      <c r="E231" s="6" t="s">
        <v>69</v>
      </c>
      <c r="F231" s="21">
        <v>8</v>
      </c>
      <c r="G231" s="23">
        <v>134</v>
      </c>
      <c r="H231" s="23">
        <v>29.5</v>
      </c>
      <c r="I231" s="23">
        <v>16.399999999999999</v>
      </c>
    </row>
    <row r="232" spans="1:9" ht="17">
      <c r="A232" s="6" t="s">
        <v>525</v>
      </c>
      <c r="B232" s="6" t="s">
        <v>17</v>
      </c>
      <c r="C232" s="6">
        <v>26</v>
      </c>
      <c r="D232" s="6" t="s">
        <v>526</v>
      </c>
      <c r="E232" s="6" t="s">
        <v>69</v>
      </c>
      <c r="F232" s="21">
        <v>8</v>
      </c>
      <c r="G232" s="23">
        <v>120.5</v>
      </c>
      <c r="H232" s="23">
        <v>20.399999999999999</v>
      </c>
      <c r="I232" s="23">
        <v>14</v>
      </c>
    </row>
    <row r="233" spans="1:9" ht="17">
      <c r="A233" s="6" t="s">
        <v>527</v>
      </c>
      <c r="B233" s="6" t="s">
        <v>17</v>
      </c>
      <c r="C233" s="6">
        <v>27</v>
      </c>
      <c r="D233" s="6" t="s">
        <v>528</v>
      </c>
      <c r="E233" s="6" t="s">
        <v>69</v>
      </c>
      <c r="F233" s="21">
        <v>8</v>
      </c>
      <c r="G233" s="23">
        <v>139</v>
      </c>
      <c r="H233" s="23">
        <v>44.2</v>
      </c>
      <c r="I233" s="23">
        <v>22.9</v>
      </c>
    </row>
    <row r="234" spans="1:9" ht="17">
      <c r="A234" s="6" t="s">
        <v>529</v>
      </c>
      <c r="B234" s="6" t="s">
        <v>17</v>
      </c>
      <c r="C234" s="6">
        <v>28</v>
      </c>
      <c r="D234" s="6" t="s">
        <v>530</v>
      </c>
      <c r="E234" s="6" t="s">
        <v>69</v>
      </c>
      <c r="F234" s="21">
        <v>8</v>
      </c>
      <c r="G234" s="23">
        <v>130.5</v>
      </c>
      <c r="H234" s="23">
        <v>27.5</v>
      </c>
      <c r="I234" s="23">
        <v>16.100000000000001</v>
      </c>
    </row>
    <row r="235" spans="1:9" ht="17">
      <c r="A235" s="6" t="s">
        <v>531</v>
      </c>
      <c r="B235" s="6" t="s">
        <v>17</v>
      </c>
      <c r="C235" s="6">
        <v>29</v>
      </c>
      <c r="D235" s="6" t="s">
        <v>532</v>
      </c>
      <c r="E235" s="6" t="s">
        <v>72</v>
      </c>
      <c r="F235" s="21">
        <v>7</v>
      </c>
      <c r="G235" s="23">
        <v>130</v>
      </c>
      <c r="H235" s="23">
        <v>28.7</v>
      </c>
      <c r="I235" s="23">
        <v>17</v>
      </c>
    </row>
    <row r="236" spans="1:9" ht="17">
      <c r="A236" s="6" t="s">
        <v>533</v>
      </c>
      <c r="B236" s="6" t="s">
        <v>17</v>
      </c>
      <c r="C236" s="6">
        <v>30</v>
      </c>
      <c r="D236" s="6" t="s">
        <v>534</v>
      </c>
      <c r="E236" s="6" t="s">
        <v>69</v>
      </c>
      <c r="F236" s="21">
        <v>8</v>
      </c>
      <c r="G236" s="23">
        <v>131</v>
      </c>
      <c r="H236" s="23">
        <v>25.9</v>
      </c>
      <c r="I236" s="23">
        <v>15.1</v>
      </c>
    </row>
    <row r="237" spans="1:9" ht="17">
      <c r="A237" s="6" t="s">
        <v>535</v>
      </c>
      <c r="B237" s="6" t="s">
        <v>17</v>
      </c>
      <c r="C237" s="6">
        <v>31</v>
      </c>
      <c r="D237" s="6" t="s">
        <v>536</v>
      </c>
      <c r="E237" s="6" t="s">
        <v>69</v>
      </c>
      <c r="F237" s="21">
        <v>8</v>
      </c>
      <c r="G237" s="23">
        <v>136.5</v>
      </c>
      <c r="H237" s="23">
        <v>25.4</v>
      </c>
      <c r="I237" s="23">
        <v>13.6</v>
      </c>
    </row>
    <row r="238" spans="1:9" ht="17">
      <c r="A238" s="6" t="s">
        <v>537</v>
      </c>
      <c r="B238" s="6" t="s">
        <v>18</v>
      </c>
      <c r="C238" s="6">
        <v>1</v>
      </c>
      <c r="D238" s="6" t="s">
        <v>538</v>
      </c>
      <c r="E238" s="6" t="s">
        <v>69</v>
      </c>
      <c r="F238" s="21">
        <v>8</v>
      </c>
      <c r="G238" s="23">
        <v>131.5</v>
      </c>
      <c r="H238" s="23">
        <v>25.4</v>
      </c>
      <c r="I238" s="23">
        <v>14.7</v>
      </c>
    </row>
    <row r="239" spans="1:9" ht="17">
      <c r="A239" s="6" t="s">
        <v>539</v>
      </c>
      <c r="B239" s="6" t="s">
        <v>18</v>
      </c>
      <c r="C239" s="6">
        <v>2</v>
      </c>
      <c r="D239" s="6" t="s">
        <v>540</v>
      </c>
      <c r="E239" s="6" t="s">
        <v>69</v>
      </c>
      <c r="F239" s="21">
        <v>8</v>
      </c>
      <c r="G239" s="23">
        <v>135</v>
      </c>
      <c r="H239" s="23">
        <v>28.2</v>
      </c>
      <c r="I239" s="23">
        <v>15.5</v>
      </c>
    </row>
    <row r="240" spans="1:9" ht="17">
      <c r="A240" s="6" t="s">
        <v>541</v>
      </c>
      <c r="B240" s="6" t="s">
        <v>18</v>
      </c>
      <c r="C240" s="6">
        <v>3</v>
      </c>
      <c r="D240" s="6" t="s">
        <v>542</v>
      </c>
      <c r="E240" s="6" t="s">
        <v>69</v>
      </c>
      <c r="F240" s="21">
        <v>8</v>
      </c>
      <c r="G240" s="23">
        <v>127.5</v>
      </c>
      <c r="H240" s="23">
        <v>24.3</v>
      </c>
      <c r="I240" s="23">
        <v>14.9</v>
      </c>
    </row>
    <row r="241" spans="1:9" ht="17">
      <c r="A241" s="6" t="s">
        <v>543</v>
      </c>
      <c r="B241" s="6" t="s">
        <v>18</v>
      </c>
      <c r="C241" s="6">
        <v>4</v>
      </c>
      <c r="D241" s="6" t="s">
        <v>544</v>
      </c>
      <c r="E241" s="6" t="s">
        <v>69</v>
      </c>
      <c r="F241" s="21">
        <v>7</v>
      </c>
      <c r="G241" s="23">
        <v>126</v>
      </c>
      <c r="H241" s="23">
        <v>25.7</v>
      </c>
      <c r="I241" s="23">
        <v>16.2</v>
      </c>
    </row>
    <row r="242" spans="1:9" ht="17">
      <c r="A242" s="6" t="s">
        <v>545</v>
      </c>
      <c r="B242" s="6" t="s">
        <v>18</v>
      </c>
      <c r="C242" s="6">
        <v>5</v>
      </c>
      <c r="D242" s="6" t="s">
        <v>546</v>
      </c>
      <c r="E242" s="6" t="s">
        <v>72</v>
      </c>
      <c r="F242" s="21">
        <v>7</v>
      </c>
      <c r="G242" s="23">
        <v>134.5</v>
      </c>
      <c r="H242" s="23">
        <v>32.799999999999997</v>
      </c>
      <c r="I242" s="23">
        <v>18.100000000000001</v>
      </c>
    </row>
    <row r="243" spans="1:9" ht="17">
      <c r="A243" s="6" t="s">
        <v>547</v>
      </c>
      <c r="B243" s="6" t="s">
        <v>18</v>
      </c>
      <c r="C243" s="6">
        <v>6</v>
      </c>
      <c r="D243" s="6" t="s">
        <v>548</v>
      </c>
      <c r="E243" s="6" t="s">
        <v>69</v>
      </c>
      <c r="F243" s="21">
        <v>8</v>
      </c>
      <c r="G243" s="23">
        <v>129.5</v>
      </c>
      <c r="H243" s="23">
        <v>33.700000000000003</v>
      </c>
      <c r="I243" s="23">
        <v>20.100000000000001</v>
      </c>
    </row>
    <row r="244" spans="1:9" ht="17">
      <c r="A244" s="6" t="s">
        <v>549</v>
      </c>
      <c r="B244" s="6" t="s">
        <v>18</v>
      </c>
      <c r="C244" s="6">
        <v>7</v>
      </c>
      <c r="D244" s="6" t="s">
        <v>550</v>
      </c>
      <c r="E244" s="6" t="s">
        <v>72</v>
      </c>
      <c r="F244" s="21">
        <v>8</v>
      </c>
      <c r="G244" s="23">
        <v>124.5</v>
      </c>
      <c r="H244" s="23">
        <v>27.2</v>
      </c>
      <c r="I244" s="23">
        <v>17.5</v>
      </c>
    </row>
    <row r="245" spans="1:9" ht="17">
      <c r="A245" s="6" t="s">
        <v>551</v>
      </c>
      <c r="B245" s="6" t="s">
        <v>18</v>
      </c>
      <c r="C245" s="6">
        <v>8</v>
      </c>
      <c r="D245" s="6" t="s">
        <v>552</v>
      </c>
      <c r="E245" s="6" t="s">
        <v>72</v>
      </c>
      <c r="F245" s="21">
        <v>8</v>
      </c>
      <c r="G245" s="23">
        <v>130.5</v>
      </c>
      <c r="H245" s="23">
        <v>24.3</v>
      </c>
      <c r="I245" s="23">
        <v>14.3</v>
      </c>
    </row>
    <row r="246" spans="1:9" ht="17">
      <c r="A246" s="6" t="s">
        <v>553</v>
      </c>
      <c r="B246" s="6" t="s">
        <v>18</v>
      </c>
      <c r="C246" s="6">
        <v>9</v>
      </c>
      <c r="D246" s="6" t="s">
        <v>554</v>
      </c>
      <c r="E246" s="6" t="s">
        <v>72</v>
      </c>
      <c r="F246" s="21">
        <v>7</v>
      </c>
      <c r="G246" s="23">
        <v>123.5</v>
      </c>
      <c r="H246" s="23">
        <v>20.9</v>
      </c>
      <c r="I246" s="23">
        <v>13.7</v>
      </c>
    </row>
    <row r="247" spans="1:9" ht="17">
      <c r="A247" s="6" t="s">
        <v>555</v>
      </c>
      <c r="B247" s="6" t="s">
        <v>18</v>
      </c>
      <c r="C247" s="6">
        <v>10</v>
      </c>
      <c r="D247" s="6" t="s">
        <v>556</v>
      </c>
      <c r="E247" s="6" t="s">
        <v>72</v>
      </c>
      <c r="F247" s="21">
        <v>8</v>
      </c>
      <c r="G247" s="23">
        <v>123</v>
      </c>
      <c r="H247" s="23">
        <v>22.9</v>
      </c>
      <c r="I247" s="23">
        <v>15.1</v>
      </c>
    </row>
    <row r="248" spans="1:9" ht="17">
      <c r="A248" s="6" t="s">
        <v>557</v>
      </c>
      <c r="B248" s="6" t="s">
        <v>18</v>
      </c>
      <c r="C248" s="6">
        <v>11</v>
      </c>
      <c r="D248" s="6" t="s">
        <v>558</v>
      </c>
      <c r="E248" s="6" t="s">
        <v>69</v>
      </c>
      <c r="F248" s="21">
        <v>8</v>
      </c>
      <c r="G248" s="23">
        <v>126</v>
      </c>
      <c r="H248" s="23">
        <v>21.3</v>
      </c>
      <c r="I248" s="23">
        <v>13.4</v>
      </c>
    </row>
    <row r="249" spans="1:9" ht="17">
      <c r="A249" s="6" t="s">
        <v>559</v>
      </c>
      <c r="B249" s="6" t="s">
        <v>18</v>
      </c>
      <c r="C249" s="6">
        <v>12</v>
      </c>
      <c r="D249" s="6" t="s">
        <v>560</v>
      </c>
      <c r="E249" s="6" t="s">
        <v>72</v>
      </c>
      <c r="F249" s="21">
        <v>8</v>
      </c>
      <c r="G249" s="23">
        <v>138.5</v>
      </c>
      <c r="H249" s="23">
        <v>29.8</v>
      </c>
      <c r="I249" s="23">
        <v>15.5</v>
      </c>
    </row>
    <row r="250" spans="1:9" ht="17">
      <c r="A250" s="6" t="s">
        <v>561</v>
      </c>
      <c r="B250" s="6" t="s">
        <v>18</v>
      </c>
      <c r="C250" s="6">
        <v>13</v>
      </c>
      <c r="D250" s="6" t="s">
        <v>562</v>
      </c>
      <c r="E250" s="6" t="s">
        <v>72</v>
      </c>
      <c r="F250" s="21">
        <v>8</v>
      </c>
      <c r="G250" s="23">
        <v>133.5</v>
      </c>
      <c r="H250" s="23">
        <v>29.7</v>
      </c>
      <c r="I250" s="23">
        <v>16.7</v>
      </c>
    </row>
    <row r="251" spans="1:9" ht="17">
      <c r="A251" s="6" t="s">
        <v>563</v>
      </c>
      <c r="B251" s="6" t="s">
        <v>18</v>
      </c>
      <c r="C251" s="6">
        <v>14</v>
      </c>
      <c r="D251" s="6" t="s">
        <v>564</v>
      </c>
      <c r="E251" s="6" t="s">
        <v>69</v>
      </c>
      <c r="F251" s="21">
        <v>8</v>
      </c>
      <c r="G251" s="23">
        <v>133.5</v>
      </c>
      <c r="H251" s="23">
        <v>23.1</v>
      </c>
      <c r="I251" s="23">
        <v>13</v>
      </c>
    </row>
    <row r="252" spans="1:9" ht="17">
      <c r="A252" s="6" t="s">
        <v>565</v>
      </c>
      <c r="B252" s="6" t="s">
        <v>18</v>
      </c>
      <c r="C252" s="6">
        <v>15</v>
      </c>
      <c r="D252" s="6" t="s">
        <v>566</v>
      </c>
      <c r="E252" s="6" t="s">
        <v>69</v>
      </c>
      <c r="F252" s="21">
        <v>8</v>
      </c>
      <c r="G252" s="23">
        <v>129</v>
      </c>
      <c r="H252" s="23">
        <v>31</v>
      </c>
      <c r="I252" s="23">
        <v>18.600000000000001</v>
      </c>
    </row>
    <row r="253" spans="1:9" ht="17">
      <c r="A253" s="6" t="s">
        <v>567</v>
      </c>
      <c r="B253" s="6" t="s">
        <v>18</v>
      </c>
      <c r="C253" s="6">
        <v>16</v>
      </c>
      <c r="D253" s="6" t="s">
        <v>568</v>
      </c>
      <c r="E253" s="6" t="s">
        <v>72</v>
      </c>
      <c r="F253" s="21">
        <v>8</v>
      </c>
      <c r="G253" s="23">
        <v>124</v>
      </c>
      <c r="H253" s="23">
        <v>22.9</v>
      </c>
      <c r="I253" s="23">
        <v>14.9</v>
      </c>
    </row>
    <row r="254" spans="1:9" ht="17">
      <c r="A254" s="6" t="s">
        <v>569</v>
      </c>
      <c r="B254" s="6" t="s">
        <v>18</v>
      </c>
      <c r="C254" s="6">
        <v>17</v>
      </c>
      <c r="D254" s="6" t="s">
        <v>570</v>
      </c>
      <c r="E254" s="6" t="s">
        <v>69</v>
      </c>
      <c r="F254" s="21">
        <v>8</v>
      </c>
      <c r="G254" s="23">
        <v>129.5</v>
      </c>
      <c r="H254" s="23">
        <v>22.5</v>
      </c>
      <c r="I254" s="23">
        <v>13.4</v>
      </c>
    </row>
    <row r="255" spans="1:9" ht="17">
      <c r="A255" s="6" t="s">
        <v>571</v>
      </c>
      <c r="B255" s="6" t="s">
        <v>18</v>
      </c>
      <c r="C255" s="6">
        <v>18</v>
      </c>
      <c r="D255" s="6" t="s">
        <v>572</v>
      </c>
      <c r="E255" s="6" t="s">
        <v>72</v>
      </c>
      <c r="F255" s="21">
        <v>8</v>
      </c>
      <c r="G255" s="23">
        <v>127</v>
      </c>
      <c r="H255" s="23">
        <v>22.5</v>
      </c>
      <c r="I255" s="23">
        <v>14</v>
      </c>
    </row>
    <row r="256" spans="1:9" ht="17">
      <c r="A256" s="6" t="s">
        <v>573</v>
      </c>
      <c r="B256" s="6" t="s">
        <v>18</v>
      </c>
      <c r="C256" s="6">
        <v>19</v>
      </c>
      <c r="D256" s="6" t="s">
        <v>574</v>
      </c>
      <c r="E256" s="6" t="s">
        <v>72</v>
      </c>
      <c r="F256" s="21">
        <v>8</v>
      </c>
      <c r="G256" s="23">
        <v>123.5</v>
      </c>
      <c r="H256" s="23">
        <v>23.4</v>
      </c>
      <c r="I256" s="23">
        <v>15.3</v>
      </c>
    </row>
    <row r="257" spans="1:9" ht="17">
      <c r="A257" s="6" t="s">
        <v>575</v>
      </c>
      <c r="B257" s="6" t="s">
        <v>18</v>
      </c>
      <c r="C257" s="6">
        <v>20</v>
      </c>
      <c r="D257" s="6" t="s">
        <v>576</v>
      </c>
      <c r="E257" s="6" t="s">
        <v>72</v>
      </c>
      <c r="F257" s="21">
        <v>8</v>
      </c>
      <c r="G257" s="23">
        <v>132</v>
      </c>
      <c r="H257" s="23">
        <v>28.1</v>
      </c>
      <c r="I257" s="23">
        <v>16.100000000000001</v>
      </c>
    </row>
    <row r="258" spans="1:9" ht="17">
      <c r="A258" s="6" t="s">
        <v>577</v>
      </c>
      <c r="B258" s="6" t="s">
        <v>18</v>
      </c>
      <c r="C258" s="6">
        <v>21</v>
      </c>
      <c r="D258" s="6" t="s">
        <v>578</v>
      </c>
      <c r="E258" s="6" t="s">
        <v>69</v>
      </c>
      <c r="F258" s="21">
        <v>8</v>
      </c>
      <c r="G258" s="23">
        <v>121</v>
      </c>
      <c r="H258" s="23">
        <v>21.9</v>
      </c>
      <c r="I258" s="23">
        <v>15</v>
      </c>
    </row>
    <row r="259" spans="1:9" ht="17">
      <c r="A259" s="6" t="s">
        <v>579</v>
      </c>
      <c r="B259" s="6" t="s">
        <v>18</v>
      </c>
      <c r="C259" s="6">
        <v>22</v>
      </c>
      <c r="D259" s="6" t="s">
        <v>580</v>
      </c>
      <c r="E259" s="6" t="s">
        <v>72</v>
      </c>
      <c r="F259" s="21">
        <v>8</v>
      </c>
      <c r="G259" s="23">
        <v>126.5</v>
      </c>
      <c r="H259" s="23">
        <v>24.1</v>
      </c>
      <c r="I259" s="23">
        <v>15.1</v>
      </c>
    </row>
    <row r="260" spans="1:9" ht="17">
      <c r="A260" s="6" t="s">
        <v>581</v>
      </c>
      <c r="B260" s="6" t="s">
        <v>18</v>
      </c>
      <c r="C260" s="6">
        <v>23</v>
      </c>
      <c r="D260" s="6" t="s">
        <v>582</v>
      </c>
      <c r="E260" s="6" t="s">
        <v>72</v>
      </c>
      <c r="F260" s="21">
        <v>8</v>
      </c>
      <c r="G260" s="23">
        <v>121.5</v>
      </c>
      <c r="H260" s="23">
        <v>19.8</v>
      </c>
      <c r="I260" s="23">
        <v>13.4</v>
      </c>
    </row>
    <row r="261" spans="1:9" ht="17">
      <c r="A261" s="6" t="s">
        <v>583</v>
      </c>
      <c r="B261" s="6" t="s">
        <v>18</v>
      </c>
      <c r="C261" s="6">
        <v>24</v>
      </c>
      <c r="D261" s="6" t="s">
        <v>584</v>
      </c>
      <c r="E261" s="6" t="s">
        <v>72</v>
      </c>
      <c r="F261" s="21">
        <v>8</v>
      </c>
      <c r="G261" s="23">
        <v>140.5</v>
      </c>
      <c r="H261" s="23">
        <v>42.1</v>
      </c>
      <c r="I261" s="23">
        <v>21.3</v>
      </c>
    </row>
    <row r="262" spans="1:9" ht="17">
      <c r="A262" s="6" t="s">
        <v>585</v>
      </c>
      <c r="B262" s="6" t="s">
        <v>18</v>
      </c>
      <c r="C262" s="6">
        <v>25</v>
      </c>
      <c r="D262" s="6" t="s">
        <v>586</v>
      </c>
      <c r="E262" s="6" t="s">
        <v>69</v>
      </c>
      <c r="F262" s="21">
        <v>8</v>
      </c>
      <c r="G262" s="23">
        <v>133.5</v>
      </c>
      <c r="H262" s="23">
        <v>28.3</v>
      </c>
      <c r="I262" s="23">
        <v>15.9</v>
      </c>
    </row>
    <row r="263" spans="1:9" ht="17">
      <c r="A263" s="6" t="s">
        <v>587</v>
      </c>
      <c r="B263" s="6" t="s">
        <v>18</v>
      </c>
      <c r="C263" s="6">
        <v>26</v>
      </c>
      <c r="D263" s="6" t="s">
        <v>588</v>
      </c>
      <c r="E263" s="6" t="s">
        <v>69</v>
      </c>
      <c r="F263" s="21">
        <v>8</v>
      </c>
      <c r="G263" s="23">
        <v>129.5</v>
      </c>
      <c r="H263" s="23">
        <v>26.6</v>
      </c>
      <c r="I263" s="23">
        <v>15.9</v>
      </c>
    </row>
    <row r="264" spans="1:9" ht="17">
      <c r="A264" s="6" t="s">
        <v>589</v>
      </c>
      <c r="B264" s="6" t="s">
        <v>18</v>
      </c>
      <c r="C264" s="6">
        <v>27</v>
      </c>
      <c r="D264" s="6" t="s">
        <v>590</v>
      </c>
      <c r="E264" s="6" t="s">
        <v>69</v>
      </c>
      <c r="F264" s="21">
        <v>8</v>
      </c>
      <c r="G264" s="23">
        <v>147</v>
      </c>
      <c r="H264" s="23">
        <v>50.9</v>
      </c>
      <c r="I264" s="23">
        <v>23.6</v>
      </c>
    </row>
    <row r="265" spans="1:9" ht="17">
      <c r="A265" s="6" t="s">
        <v>591</v>
      </c>
      <c r="B265" s="6" t="s">
        <v>18</v>
      </c>
      <c r="C265" s="6">
        <v>28</v>
      </c>
      <c r="D265" s="6" t="s">
        <v>592</v>
      </c>
      <c r="E265" s="6" t="s">
        <v>72</v>
      </c>
      <c r="F265" s="21">
        <v>8</v>
      </c>
      <c r="G265" s="23">
        <v>144</v>
      </c>
      <c r="H265" s="23">
        <v>34.700000000000003</v>
      </c>
      <c r="I265" s="23">
        <v>16.7</v>
      </c>
    </row>
    <row r="266" spans="1:9" ht="17">
      <c r="A266" s="6" t="s">
        <v>593</v>
      </c>
      <c r="B266" s="6" t="s">
        <v>18</v>
      </c>
      <c r="C266" s="6">
        <v>29</v>
      </c>
      <c r="D266" s="6" t="s">
        <v>594</v>
      </c>
      <c r="E266" s="6" t="s">
        <v>69</v>
      </c>
      <c r="F266" s="21">
        <v>8</v>
      </c>
      <c r="G266" s="23">
        <v>123.5</v>
      </c>
      <c r="H266" s="23">
        <v>20.7</v>
      </c>
      <c r="I266" s="23">
        <v>13.6</v>
      </c>
    </row>
    <row r="267" spans="1:9" ht="17">
      <c r="A267" s="6" t="s">
        <v>595</v>
      </c>
      <c r="B267" s="6" t="s">
        <v>19</v>
      </c>
      <c r="C267" s="6">
        <v>1</v>
      </c>
      <c r="D267" s="6" t="s">
        <v>596</v>
      </c>
      <c r="E267" s="6" t="s">
        <v>69</v>
      </c>
      <c r="F267" s="21">
        <v>8</v>
      </c>
      <c r="G267" s="23">
        <v>128</v>
      </c>
      <c r="H267" s="23">
        <v>24.5</v>
      </c>
      <c r="I267" s="23">
        <v>15</v>
      </c>
    </row>
    <row r="268" spans="1:9" ht="17">
      <c r="A268" s="6" t="s">
        <v>597</v>
      </c>
      <c r="B268" s="6" t="s">
        <v>19</v>
      </c>
      <c r="C268" s="6">
        <v>2</v>
      </c>
      <c r="D268" s="6" t="s">
        <v>598</v>
      </c>
      <c r="E268" s="6" t="s">
        <v>72</v>
      </c>
      <c r="F268" s="21">
        <v>8</v>
      </c>
      <c r="G268" s="23">
        <v>130.5</v>
      </c>
      <c r="H268" s="23">
        <v>26.9</v>
      </c>
      <c r="I268" s="23">
        <v>15.8</v>
      </c>
    </row>
    <row r="269" spans="1:9" ht="17">
      <c r="A269" s="6" t="s">
        <v>599</v>
      </c>
      <c r="B269" s="6" t="s">
        <v>19</v>
      </c>
      <c r="C269" s="6">
        <v>3</v>
      </c>
      <c r="D269" s="6" t="s">
        <v>600</v>
      </c>
      <c r="E269" s="6" t="s">
        <v>72</v>
      </c>
      <c r="F269" s="21">
        <v>8</v>
      </c>
      <c r="G269" s="23">
        <v>134.5</v>
      </c>
      <c r="H269" s="23">
        <v>32.9</v>
      </c>
      <c r="I269" s="23">
        <v>18.2</v>
      </c>
    </row>
    <row r="270" spans="1:9" ht="17">
      <c r="A270" s="6" t="s">
        <v>601</v>
      </c>
      <c r="B270" s="6" t="s">
        <v>19</v>
      </c>
      <c r="C270" s="6">
        <v>4</v>
      </c>
      <c r="D270" s="6" t="s">
        <v>602</v>
      </c>
      <c r="E270" s="6" t="s">
        <v>72</v>
      </c>
      <c r="F270" s="21">
        <v>8</v>
      </c>
      <c r="G270" s="23">
        <v>134.5</v>
      </c>
      <c r="H270" s="23">
        <v>30.6</v>
      </c>
      <c r="I270" s="23">
        <v>16.899999999999999</v>
      </c>
    </row>
    <row r="271" spans="1:9" ht="17">
      <c r="A271" s="6" t="s">
        <v>603</v>
      </c>
      <c r="B271" s="6" t="s">
        <v>19</v>
      </c>
      <c r="C271" s="6">
        <v>5</v>
      </c>
      <c r="D271" s="6" t="s">
        <v>604</v>
      </c>
      <c r="E271" s="6" t="s">
        <v>72</v>
      </c>
      <c r="F271" s="21">
        <v>8</v>
      </c>
      <c r="G271" s="23">
        <v>128.5</v>
      </c>
      <c r="H271" s="23">
        <v>23.5</v>
      </c>
      <c r="I271" s="23">
        <v>14.2</v>
      </c>
    </row>
    <row r="272" spans="1:9" ht="17">
      <c r="A272" s="6" t="s">
        <v>605</v>
      </c>
      <c r="B272" s="6" t="s">
        <v>19</v>
      </c>
      <c r="C272" s="6">
        <v>6</v>
      </c>
      <c r="D272" s="6" t="s">
        <v>606</v>
      </c>
      <c r="E272" s="6" t="s">
        <v>72</v>
      </c>
      <c r="F272" s="21">
        <v>8</v>
      </c>
      <c r="G272" s="23">
        <v>135.5</v>
      </c>
      <c r="H272" s="23">
        <v>29.4</v>
      </c>
      <c r="I272" s="23">
        <v>16</v>
      </c>
    </row>
    <row r="273" spans="1:9" ht="17">
      <c r="A273" s="6" t="s">
        <v>607</v>
      </c>
      <c r="B273" s="6" t="s">
        <v>19</v>
      </c>
      <c r="C273" s="6">
        <v>7</v>
      </c>
      <c r="D273" s="6" t="s">
        <v>608</v>
      </c>
      <c r="E273" s="6" t="s">
        <v>72</v>
      </c>
      <c r="F273" s="21">
        <v>8</v>
      </c>
      <c r="G273" s="23">
        <v>129.5</v>
      </c>
      <c r="H273" s="23">
        <v>26.7</v>
      </c>
      <c r="I273" s="23">
        <v>15.9</v>
      </c>
    </row>
    <row r="274" spans="1:9" ht="17">
      <c r="A274" s="6" t="s">
        <v>609</v>
      </c>
      <c r="B274" s="6" t="s">
        <v>19</v>
      </c>
      <c r="C274" s="6">
        <v>8</v>
      </c>
      <c r="D274" s="6" t="s">
        <v>610</v>
      </c>
      <c r="E274" s="6" t="s">
        <v>69</v>
      </c>
      <c r="F274" s="21">
        <v>8</v>
      </c>
      <c r="G274" s="23">
        <v>137</v>
      </c>
      <c r="H274" s="23">
        <v>35.4</v>
      </c>
      <c r="I274" s="23">
        <v>18.899999999999999</v>
      </c>
    </row>
    <row r="275" spans="1:9" ht="17">
      <c r="A275" s="6" t="s">
        <v>611</v>
      </c>
      <c r="B275" s="6" t="s">
        <v>19</v>
      </c>
      <c r="C275" s="6">
        <v>9</v>
      </c>
      <c r="D275" s="6" t="s">
        <v>612</v>
      </c>
      <c r="E275" s="6" t="s">
        <v>72</v>
      </c>
      <c r="F275" s="21">
        <v>8</v>
      </c>
      <c r="G275" s="23">
        <v>123.5</v>
      </c>
      <c r="H275" s="23">
        <v>20.6</v>
      </c>
      <c r="I275" s="23">
        <v>13.5</v>
      </c>
    </row>
    <row r="276" spans="1:9" ht="17">
      <c r="A276" s="6" t="s">
        <v>613</v>
      </c>
      <c r="B276" s="6" t="s">
        <v>19</v>
      </c>
      <c r="C276" s="6">
        <v>10</v>
      </c>
      <c r="D276" s="6" t="s">
        <v>614</v>
      </c>
      <c r="E276" s="6" t="s">
        <v>69</v>
      </c>
      <c r="F276" s="21">
        <v>8</v>
      </c>
      <c r="G276" s="23">
        <v>122</v>
      </c>
      <c r="H276" s="23">
        <v>19.7</v>
      </c>
      <c r="I276" s="23">
        <v>13.2</v>
      </c>
    </row>
    <row r="277" spans="1:9" ht="17">
      <c r="A277" s="6" t="s">
        <v>615</v>
      </c>
      <c r="B277" s="6" t="s">
        <v>19</v>
      </c>
      <c r="C277" s="6">
        <v>11</v>
      </c>
      <c r="D277" s="6" t="s">
        <v>616</v>
      </c>
      <c r="E277" s="6" t="s">
        <v>69</v>
      </c>
      <c r="F277" s="21">
        <v>8</v>
      </c>
      <c r="G277" s="23">
        <v>130.5</v>
      </c>
      <c r="H277" s="23">
        <v>26.7</v>
      </c>
      <c r="I277" s="23">
        <v>15.7</v>
      </c>
    </row>
    <row r="278" spans="1:9" ht="17">
      <c r="A278" s="6" t="s">
        <v>617</v>
      </c>
      <c r="B278" s="6" t="s">
        <v>19</v>
      </c>
      <c r="C278" s="6">
        <v>12</v>
      </c>
      <c r="D278" s="6" t="s">
        <v>618</v>
      </c>
      <c r="E278" s="6" t="s">
        <v>69</v>
      </c>
      <c r="F278" s="21">
        <v>8</v>
      </c>
      <c r="G278" s="23">
        <v>131.5</v>
      </c>
      <c r="H278" s="23">
        <v>28.1</v>
      </c>
      <c r="I278" s="23">
        <v>16.3</v>
      </c>
    </row>
    <row r="279" spans="1:9" ht="17">
      <c r="A279" s="6" t="s">
        <v>619</v>
      </c>
      <c r="B279" s="6" t="s">
        <v>19</v>
      </c>
      <c r="C279" s="6">
        <v>13</v>
      </c>
      <c r="D279" s="6" t="s">
        <v>620</v>
      </c>
      <c r="E279" s="6" t="s">
        <v>69</v>
      </c>
      <c r="F279" s="21">
        <v>8</v>
      </c>
      <c r="G279" s="23">
        <v>130.5</v>
      </c>
      <c r="H279" s="23">
        <v>26</v>
      </c>
      <c r="I279" s="23">
        <v>15.3</v>
      </c>
    </row>
    <row r="280" spans="1:9" ht="17">
      <c r="A280" s="6" t="s">
        <v>621</v>
      </c>
      <c r="B280" s="6" t="s">
        <v>19</v>
      </c>
      <c r="C280" s="6">
        <v>14</v>
      </c>
      <c r="D280" s="6" t="s">
        <v>622</v>
      </c>
      <c r="E280" s="6" t="s">
        <v>72</v>
      </c>
      <c r="F280" s="21">
        <v>8</v>
      </c>
      <c r="G280" s="23">
        <v>126</v>
      </c>
      <c r="H280" s="23">
        <v>23</v>
      </c>
      <c r="I280" s="23">
        <v>14.5</v>
      </c>
    </row>
    <row r="281" spans="1:9" ht="17">
      <c r="A281" s="6" t="s">
        <v>623</v>
      </c>
      <c r="B281" s="6" t="s">
        <v>19</v>
      </c>
      <c r="C281" s="6">
        <v>15</v>
      </c>
      <c r="D281" s="6" t="s">
        <v>624</v>
      </c>
      <c r="E281" s="6" t="s">
        <v>69</v>
      </c>
      <c r="F281" s="21">
        <v>8</v>
      </c>
      <c r="G281" s="23">
        <v>124</v>
      </c>
      <c r="H281" s="23">
        <v>22</v>
      </c>
      <c r="I281" s="23">
        <v>14.3</v>
      </c>
    </row>
    <row r="282" spans="1:9" ht="17">
      <c r="A282" s="6" t="s">
        <v>625</v>
      </c>
      <c r="B282" s="6" t="s">
        <v>19</v>
      </c>
      <c r="C282" s="6">
        <v>16</v>
      </c>
      <c r="D282" s="6" t="s">
        <v>626</v>
      </c>
      <c r="E282" s="6" t="s">
        <v>72</v>
      </c>
      <c r="F282" s="21">
        <v>8</v>
      </c>
      <c r="G282" s="23">
        <v>133</v>
      </c>
      <c r="H282" s="23">
        <v>27.5</v>
      </c>
      <c r="I282" s="23">
        <v>15.5</v>
      </c>
    </row>
    <row r="283" spans="1:9" ht="17">
      <c r="A283" s="6" t="s">
        <v>627</v>
      </c>
      <c r="B283" s="6" t="s">
        <v>19</v>
      </c>
      <c r="C283" s="6">
        <v>17</v>
      </c>
      <c r="D283" s="6" t="s">
        <v>628</v>
      </c>
      <c r="E283" s="6" t="s">
        <v>72</v>
      </c>
      <c r="F283" s="21">
        <v>8</v>
      </c>
      <c r="G283" s="23">
        <v>132.5</v>
      </c>
      <c r="H283" s="23">
        <v>25.3</v>
      </c>
      <c r="I283" s="23">
        <v>14.4</v>
      </c>
    </row>
    <row r="284" spans="1:9" ht="17">
      <c r="A284" s="6" t="s">
        <v>629</v>
      </c>
      <c r="B284" s="6" t="s">
        <v>19</v>
      </c>
      <c r="C284" s="6">
        <v>18</v>
      </c>
      <c r="D284" s="6" t="s">
        <v>630</v>
      </c>
      <c r="E284" s="6" t="s">
        <v>69</v>
      </c>
      <c r="F284" s="21">
        <v>8</v>
      </c>
      <c r="G284" s="23">
        <v>131</v>
      </c>
      <c r="H284" s="23">
        <v>27.3</v>
      </c>
      <c r="I284" s="23">
        <v>15.9</v>
      </c>
    </row>
    <row r="285" spans="1:9" ht="17">
      <c r="A285" s="6" t="s">
        <v>631</v>
      </c>
      <c r="B285" s="6" t="s">
        <v>19</v>
      </c>
      <c r="C285" s="6">
        <v>19</v>
      </c>
      <c r="D285" s="6" t="s">
        <v>632</v>
      </c>
      <c r="E285" s="6" t="s">
        <v>69</v>
      </c>
      <c r="F285" s="21">
        <v>8</v>
      </c>
      <c r="G285" s="23">
        <v>126.5</v>
      </c>
      <c r="H285" s="23">
        <v>20.2</v>
      </c>
      <c r="I285" s="23">
        <v>12.6</v>
      </c>
    </row>
    <row r="286" spans="1:9" ht="17">
      <c r="A286" s="6" t="s">
        <v>633</v>
      </c>
      <c r="B286" s="6" t="s">
        <v>19</v>
      </c>
      <c r="C286" s="6">
        <v>20</v>
      </c>
      <c r="D286" s="6" t="s">
        <v>634</v>
      </c>
      <c r="E286" s="6" t="s">
        <v>72</v>
      </c>
      <c r="F286" s="21">
        <v>8</v>
      </c>
      <c r="G286" s="23">
        <v>138.5</v>
      </c>
      <c r="H286" s="23">
        <v>42.6</v>
      </c>
      <c r="I286" s="23">
        <v>22.2</v>
      </c>
    </row>
    <row r="287" spans="1:9" ht="17">
      <c r="A287" s="6" t="s">
        <v>635</v>
      </c>
      <c r="B287" s="6" t="s">
        <v>19</v>
      </c>
      <c r="C287" s="6">
        <v>21</v>
      </c>
      <c r="D287" s="6" t="s">
        <v>636</v>
      </c>
      <c r="E287" s="6" t="s">
        <v>69</v>
      </c>
      <c r="F287" s="21">
        <v>8</v>
      </c>
      <c r="G287" s="23">
        <v>134</v>
      </c>
      <c r="H287" s="23">
        <v>31.5</v>
      </c>
      <c r="I287" s="23">
        <v>17.5</v>
      </c>
    </row>
    <row r="288" spans="1:9" ht="17">
      <c r="A288" s="6" t="s">
        <v>637</v>
      </c>
      <c r="B288" s="6" t="s">
        <v>19</v>
      </c>
      <c r="C288" s="6">
        <v>22</v>
      </c>
      <c r="D288" s="6" t="s">
        <v>638</v>
      </c>
      <c r="E288" s="6" t="s">
        <v>72</v>
      </c>
      <c r="F288" s="21">
        <v>8</v>
      </c>
      <c r="G288" s="23">
        <v>125.5</v>
      </c>
      <c r="H288" s="23">
        <v>27.3</v>
      </c>
      <c r="I288" s="23">
        <v>17.3</v>
      </c>
    </row>
    <row r="289" spans="1:9" ht="17">
      <c r="A289" s="6" t="s">
        <v>639</v>
      </c>
      <c r="B289" s="6" t="s">
        <v>19</v>
      </c>
      <c r="C289" s="6">
        <v>23</v>
      </c>
      <c r="D289" s="6" t="s">
        <v>640</v>
      </c>
      <c r="E289" s="6" t="s">
        <v>69</v>
      </c>
      <c r="F289" s="21">
        <v>8</v>
      </c>
      <c r="G289" s="23">
        <v>127.5</v>
      </c>
      <c r="H289" s="23">
        <v>21.5</v>
      </c>
      <c r="I289" s="23">
        <v>13.2</v>
      </c>
    </row>
    <row r="290" spans="1:9" ht="17">
      <c r="A290" s="6" t="s">
        <v>641</v>
      </c>
      <c r="B290" s="6" t="s">
        <v>19</v>
      </c>
      <c r="C290" s="6">
        <v>24</v>
      </c>
      <c r="D290" s="6" t="s">
        <v>642</v>
      </c>
      <c r="E290" s="6" t="s">
        <v>72</v>
      </c>
      <c r="F290" s="21">
        <v>8</v>
      </c>
      <c r="G290" s="23">
        <v>126.5</v>
      </c>
      <c r="H290" s="23">
        <v>21.3</v>
      </c>
      <c r="I290" s="23">
        <v>13.3</v>
      </c>
    </row>
    <row r="291" spans="1:9" ht="17">
      <c r="A291" s="6" t="s">
        <v>643</v>
      </c>
      <c r="B291" s="6" t="s">
        <v>19</v>
      </c>
      <c r="C291" s="6">
        <v>25</v>
      </c>
      <c r="D291" s="6" t="s">
        <v>644</v>
      </c>
      <c r="E291" s="6" t="s">
        <v>69</v>
      </c>
      <c r="F291" s="21">
        <v>8</v>
      </c>
      <c r="G291" s="23">
        <v>133.5</v>
      </c>
      <c r="H291" s="23">
        <v>35.299999999999997</v>
      </c>
      <c r="I291" s="23">
        <v>19.8</v>
      </c>
    </row>
    <row r="292" spans="1:9" ht="17">
      <c r="A292" s="6" t="s">
        <v>645</v>
      </c>
      <c r="B292" s="6" t="s">
        <v>19</v>
      </c>
      <c r="C292" s="6">
        <v>26</v>
      </c>
      <c r="D292" s="6" t="s">
        <v>646</v>
      </c>
      <c r="E292" s="6" t="s">
        <v>72</v>
      </c>
      <c r="F292" s="21">
        <v>8</v>
      </c>
      <c r="G292" s="23">
        <v>125.5</v>
      </c>
      <c r="H292" s="23">
        <v>24.8</v>
      </c>
      <c r="I292" s="23">
        <v>15.7</v>
      </c>
    </row>
    <row r="293" spans="1:9" ht="17">
      <c r="A293" s="6" t="s">
        <v>647</v>
      </c>
      <c r="B293" s="6" t="s">
        <v>19</v>
      </c>
      <c r="C293" s="6">
        <v>27</v>
      </c>
      <c r="D293" s="6" t="s">
        <v>648</v>
      </c>
      <c r="E293" s="6" t="s">
        <v>72</v>
      </c>
      <c r="F293" s="21">
        <v>8</v>
      </c>
      <c r="G293" s="23">
        <v>126.5</v>
      </c>
      <c r="H293" s="23">
        <v>20.8</v>
      </c>
      <c r="I293" s="23">
        <v>13</v>
      </c>
    </row>
    <row r="294" spans="1:9" ht="17">
      <c r="A294" s="6" t="s">
        <v>649</v>
      </c>
      <c r="B294" s="6" t="s">
        <v>19</v>
      </c>
      <c r="C294" s="6">
        <v>28</v>
      </c>
      <c r="D294" s="6" t="s">
        <v>650</v>
      </c>
      <c r="E294" s="6" t="s">
        <v>72</v>
      </c>
      <c r="F294" s="21">
        <v>7</v>
      </c>
      <c r="G294" s="23">
        <v>124.5</v>
      </c>
      <c r="H294" s="23">
        <v>26.2</v>
      </c>
      <c r="I294" s="23">
        <v>16.899999999999999</v>
      </c>
    </row>
    <row r="295" spans="1:9" ht="17">
      <c r="A295" s="6" t="s">
        <v>651</v>
      </c>
      <c r="B295" s="6" t="s">
        <v>19</v>
      </c>
      <c r="C295" s="6">
        <v>29</v>
      </c>
      <c r="D295" s="6" t="s">
        <v>652</v>
      </c>
      <c r="E295" s="6" t="s">
        <v>69</v>
      </c>
      <c r="F295" s="21">
        <v>8</v>
      </c>
      <c r="G295" s="23">
        <v>130</v>
      </c>
      <c r="H295" s="23">
        <v>25.4</v>
      </c>
      <c r="I295" s="23">
        <v>15</v>
      </c>
    </row>
    <row r="296" spans="1:9" ht="17">
      <c r="A296" s="6" t="s">
        <v>653</v>
      </c>
      <c r="B296" s="6" t="s">
        <v>19</v>
      </c>
      <c r="C296" s="6">
        <v>30</v>
      </c>
      <c r="D296" s="6" t="s">
        <v>654</v>
      </c>
      <c r="E296" s="6" t="s">
        <v>69</v>
      </c>
      <c r="F296" s="21">
        <v>8</v>
      </c>
      <c r="G296" s="23">
        <v>125.5</v>
      </c>
      <c r="H296" s="23">
        <v>26.5</v>
      </c>
      <c r="I296" s="23">
        <v>16.8</v>
      </c>
    </row>
    <row r="297" spans="1:9" ht="17">
      <c r="A297" s="6" t="s">
        <v>655</v>
      </c>
      <c r="B297" s="6" t="s">
        <v>20</v>
      </c>
      <c r="C297" s="6">
        <v>1</v>
      </c>
      <c r="D297" s="6" t="s">
        <v>656</v>
      </c>
      <c r="E297" s="6" t="s">
        <v>69</v>
      </c>
      <c r="F297" s="21">
        <v>9</v>
      </c>
      <c r="G297" s="23">
        <v>128.5</v>
      </c>
      <c r="H297" s="23">
        <v>27.4</v>
      </c>
      <c r="I297" s="23">
        <v>16.600000000000001</v>
      </c>
    </row>
    <row r="298" spans="1:9" ht="17">
      <c r="A298" s="6" t="s">
        <v>657</v>
      </c>
      <c r="B298" s="6" t="s">
        <v>20</v>
      </c>
      <c r="C298" s="6">
        <v>2</v>
      </c>
      <c r="D298" s="6" t="s">
        <v>658</v>
      </c>
      <c r="E298" s="6" t="s">
        <v>72</v>
      </c>
      <c r="F298" s="21">
        <v>9</v>
      </c>
      <c r="G298" s="23">
        <v>129.5</v>
      </c>
      <c r="H298" s="23">
        <v>26.7</v>
      </c>
      <c r="I298" s="23">
        <v>15.9</v>
      </c>
    </row>
    <row r="299" spans="1:9" ht="17">
      <c r="A299" s="6" t="s">
        <v>659</v>
      </c>
      <c r="B299" s="6" t="s">
        <v>20</v>
      </c>
      <c r="C299" s="6">
        <v>3</v>
      </c>
      <c r="D299" s="6" t="s">
        <v>660</v>
      </c>
      <c r="E299" s="6" t="s">
        <v>72</v>
      </c>
      <c r="F299" s="21">
        <v>8</v>
      </c>
      <c r="G299" s="23">
        <v>135</v>
      </c>
      <c r="H299" s="23">
        <v>34.6</v>
      </c>
      <c r="I299" s="23">
        <v>19</v>
      </c>
    </row>
    <row r="300" spans="1:9" ht="17">
      <c r="A300" s="6" t="s">
        <v>661</v>
      </c>
      <c r="B300" s="6" t="s">
        <v>20</v>
      </c>
      <c r="C300" s="6">
        <v>4</v>
      </c>
      <c r="D300" s="6" t="s">
        <v>662</v>
      </c>
      <c r="E300" s="6" t="s">
        <v>69</v>
      </c>
      <c r="F300" s="21">
        <v>9</v>
      </c>
      <c r="G300" s="23">
        <v>131.5</v>
      </c>
      <c r="H300" s="23">
        <v>26.3</v>
      </c>
      <c r="I300" s="23">
        <v>15.2</v>
      </c>
    </row>
    <row r="301" spans="1:9" ht="17">
      <c r="A301" s="6" t="s">
        <v>663</v>
      </c>
      <c r="B301" s="6" t="s">
        <v>20</v>
      </c>
      <c r="C301" s="6">
        <v>5</v>
      </c>
      <c r="D301" s="6" t="s">
        <v>664</v>
      </c>
      <c r="E301" s="6" t="s">
        <v>69</v>
      </c>
      <c r="F301" s="21">
        <v>9</v>
      </c>
      <c r="G301" s="23">
        <v>149.5</v>
      </c>
      <c r="H301" s="23">
        <v>38.6</v>
      </c>
      <c r="I301" s="23">
        <v>17.3</v>
      </c>
    </row>
    <row r="302" spans="1:9" ht="17">
      <c r="A302" s="6" t="s">
        <v>665</v>
      </c>
      <c r="B302" s="6" t="s">
        <v>20</v>
      </c>
      <c r="C302" s="6">
        <v>6</v>
      </c>
      <c r="D302" s="6" t="s">
        <v>666</v>
      </c>
      <c r="E302" s="6" t="s">
        <v>69</v>
      </c>
      <c r="F302" s="21">
        <v>9</v>
      </c>
      <c r="G302" s="23">
        <v>133.5</v>
      </c>
      <c r="H302" s="23">
        <v>34.6</v>
      </c>
      <c r="I302" s="23">
        <v>19.399999999999999</v>
      </c>
    </row>
    <row r="303" spans="1:9" ht="17">
      <c r="A303" s="6" t="s">
        <v>667</v>
      </c>
      <c r="B303" s="6" t="s">
        <v>20</v>
      </c>
      <c r="C303" s="6">
        <v>7</v>
      </c>
      <c r="D303" s="6" t="s">
        <v>668</v>
      </c>
      <c r="E303" s="6" t="s">
        <v>69</v>
      </c>
      <c r="F303" s="21">
        <v>9</v>
      </c>
      <c r="G303" s="23">
        <v>150</v>
      </c>
      <c r="H303" s="23">
        <v>47.1</v>
      </c>
      <c r="I303" s="23">
        <v>20.9</v>
      </c>
    </row>
    <row r="304" spans="1:9" ht="17">
      <c r="A304" s="6" t="s">
        <v>669</v>
      </c>
      <c r="B304" s="6" t="s">
        <v>20</v>
      </c>
      <c r="C304" s="6">
        <v>8</v>
      </c>
      <c r="D304" s="6" t="s">
        <v>670</v>
      </c>
      <c r="E304" s="6" t="s">
        <v>69</v>
      </c>
      <c r="F304" s="21">
        <v>8</v>
      </c>
      <c r="G304" s="23">
        <v>124.5</v>
      </c>
      <c r="H304" s="23">
        <v>24.4</v>
      </c>
      <c r="I304" s="23">
        <v>15.7</v>
      </c>
    </row>
    <row r="305" spans="1:9" ht="17">
      <c r="A305" s="6" t="s">
        <v>671</v>
      </c>
      <c r="B305" s="6" t="s">
        <v>20</v>
      </c>
      <c r="C305" s="6">
        <v>9</v>
      </c>
      <c r="D305" s="6" t="s">
        <v>672</v>
      </c>
      <c r="E305" s="6" t="s">
        <v>72</v>
      </c>
      <c r="F305" s="21">
        <v>9</v>
      </c>
      <c r="G305" s="23">
        <v>142.5</v>
      </c>
      <c r="H305" s="23">
        <v>32.1</v>
      </c>
      <c r="I305" s="23">
        <v>15.8</v>
      </c>
    </row>
    <row r="306" spans="1:9" ht="17">
      <c r="A306" s="6" t="s">
        <v>673</v>
      </c>
      <c r="B306" s="6" t="s">
        <v>20</v>
      </c>
      <c r="C306" s="6">
        <v>10</v>
      </c>
      <c r="D306" s="6" t="s">
        <v>674</v>
      </c>
      <c r="E306" s="6" t="s">
        <v>69</v>
      </c>
      <c r="F306" s="21">
        <v>9</v>
      </c>
      <c r="G306" s="23">
        <v>139</v>
      </c>
      <c r="H306" s="23">
        <v>29.8</v>
      </c>
      <c r="I306" s="23">
        <v>15.4</v>
      </c>
    </row>
    <row r="307" spans="1:9" ht="17">
      <c r="A307" s="6" t="s">
        <v>675</v>
      </c>
      <c r="B307" s="6" t="s">
        <v>20</v>
      </c>
      <c r="C307" s="6">
        <v>11</v>
      </c>
      <c r="D307" s="6" t="s">
        <v>676</v>
      </c>
      <c r="E307" s="6" t="s">
        <v>72</v>
      </c>
      <c r="F307" s="21">
        <v>8</v>
      </c>
      <c r="G307" s="23">
        <v>141</v>
      </c>
      <c r="H307" s="23">
        <v>39.6</v>
      </c>
      <c r="I307" s="23">
        <v>19.899999999999999</v>
      </c>
    </row>
    <row r="308" spans="1:9" ht="17">
      <c r="A308" s="6" t="s">
        <v>677</v>
      </c>
      <c r="B308" s="6" t="s">
        <v>20</v>
      </c>
      <c r="C308" s="6">
        <v>12</v>
      </c>
      <c r="D308" s="6" t="s">
        <v>678</v>
      </c>
      <c r="E308" s="6" t="s">
        <v>69</v>
      </c>
      <c r="F308" s="21">
        <v>9</v>
      </c>
      <c r="G308" s="23">
        <v>142.5</v>
      </c>
      <c r="H308" s="23">
        <v>42.3</v>
      </c>
      <c r="I308" s="23">
        <v>20.8</v>
      </c>
    </row>
    <row r="309" spans="1:9" ht="17">
      <c r="A309" s="6" t="s">
        <v>679</v>
      </c>
      <c r="B309" s="6" t="s">
        <v>20</v>
      </c>
      <c r="C309" s="6">
        <v>13</v>
      </c>
      <c r="D309" s="6" t="s">
        <v>680</v>
      </c>
      <c r="E309" s="6" t="s">
        <v>72</v>
      </c>
      <c r="F309" s="21">
        <v>9</v>
      </c>
      <c r="G309" s="23">
        <v>129.5</v>
      </c>
      <c r="H309" s="23">
        <v>26.6</v>
      </c>
      <c r="I309" s="23">
        <v>15.9</v>
      </c>
    </row>
    <row r="310" spans="1:9" ht="17">
      <c r="A310" s="6" t="s">
        <v>681</v>
      </c>
      <c r="B310" s="6" t="s">
        <v>20</v>
      </c>
      <c r="C310" s="6">
        <v>14</v>
      </c>
      <c r="D310" s="6" t="s">
        <v>682</v>
      </c>
      <c r="E310" s="6" t="s">
        <v>72</v>
      </c>
      <c r="F310" s="21">
        <v>9</v>
      </c>
      <c r="G310" s="23">
        <v>133</v>
      </c>
      <c r="H310" s="23">
        <v>31.1</v>
      </c>
      <c r="I310" s="23">
        <v>17.600000000000001</v>
      </c>
    </row>
    <row r="311" spans="1:9" ht="17">
      <c r="A311" s="6" t="s">
        <v>683</v>
      </c>
      <c r="B311" s="6" t="s">
        <v>20</v>
      </c>
      <c r="C311" s="6">
        <v>15</v>
      </c>
      <c r="D311" s="6" t="s">
        <v>684</v>
      </c>
      <c r="E311" s="6" t="s">
        <v>72</v>
      </c>
      <c r="F311" s="21">
        <v>9</v>
      </c>
      <c r="G311" s="23">
        <v>134</v>
      </c>
      <c r="H311" s="23">
        <v>30.3</v>
      </c>
      <c r="I311" s="23">
        <v>16.899999999999999</v>
      </c>
    </row>
    <row r="312" spans="1:9" ht="17">
      <c r="A312" s="6" t="s">
        <v>685</v>
      </c>
      <c r="B312" s="6" t="s">
        <v>20</v>
      </c>
      <c r="C312" s="6">
        <v>16</v>
      </c>
      <c r="D312" s="6" t="s">
        <v>686</v>
      </c>
      <c r="E312" s="6" t="s">
        <v>72</v>
      </c>
      <c r="F312" s="21">
        <v>8</v>
      </c>
      <c r="G312" s="23">
        <v>140.5</v>
      </c>
      <c r="H312" s="23">
        <v>30.6</v>
      </c>
      <c r="I312" s="23">
        <v>15.5</v>
      </c>
    </row>
    <row r="313" spans="1:9" ht="17">
      <c r="A313" s="6" t="s">
        <v>687</v>
      </c>
      <c r="B313" s="6" t="s">
        <v>20</v>
      </c>
      <c r="C313" s="6">
        <v>17</v>
      </c>
      <c r="D313" s="6" t="s">
        <v>688</v>
      </c>
      <c r="E313" s="6" t="s">
        <v>72</v>
      </c>
      <c r="F313" s="21">
        <v>9</v>
      </c>
      <c r="G313" s="23">
        <v>147</v>
      </c>
      <c r="H313" s="23">
        <v>54.6</v>
      </c>
      <c r="I313" s="23">
        <v>25.3</v>
      </c>
    </row>
    <row r="314" spans="1:9" ht="17">
      <c r="A314" s="6" t="s">
        <v>689</v>
      </c>
      <c r="B314" s="6" t="s">
        <v>20</v>
      </c>
      <c r="C314" s="6">
        <v>18</v>
      </c>
      <c r="D314" s="6" t="s">
        <v>690</v>
      </c>
      <c r="E314" s="6" t="s">
        <v>72</v>
      </c>
      <c r="F314" s="21">
        <v>9</v>
      </c>
      <c r="G314" s="23">
        <v>131.5</v>
      </c>
      <c r="H314" s="23">
        <v>27.9</v>
      </c>
      <c r="I314" s="23">
        <v>16.100000000000001</v>
      </c>
    </row>
    <row r="315" spans="1:9" ht="17">
      <c r="A315" s="6" t="s">
        <v>691</v>
      </c>
      <c r="B315" s="6" t="s">
        <v>20</v>
      </c>
      <c r="C315" s="6">
        <v>19</v>
      </c>
      <c r="D315" s="6" t="s">
        <v>692</v>
      </c>
      <c r="E315" s="6" t="s">
        <v>72</v>
      </c>
      <c r="F315" s="21">
        <v>9</v>
      </c>
      <c r="G315" s="23">
        <v>129.5</v>
      </c>
      <c r="H315" s="23">
        <v>25.8</v>
      </c>
      <c r="I315" s="23">
        <v>15.4</v>
      </c>
    </row>
    <row r="316" spans="1:9" ht="17">
      <c r="A316" s="6" t="s">
        <v>693</v>
      </c>
      <c r="B316" s="6" t="s">
        <v>20</v>
      </c>
      <c r="C316" s="6">
        <v>20</v>
      </c>
      <c r="D316" s="6" t="s">
        <v>694</v>
      </c>
      <c r="E316" s="6" t="s">
        <v>69</v>
      </c>
      <c r="F316" s="21">
        <v>9</v>
      </c>
      <c r="G316" s="23">
        <v>136.5</v>
      </c>
      <c r="H316" s="23">
        <v>26.8</v>
      </c>
      <c r="I316" s="23">
        <v>14.4</v>
      </c>
    </row>
    <row r="317" spans="1:9" ht="17">
      <c r="A317" s="6" t="s">
        <v>695</v>
      </c>
      <c r="B317" s="6" t="s">
        <v>20</v>
      </c>
      <c r="C317" s="6">
        <v>21</v>
      </c>
      <c r="D317" s="6" t="s">
        <v>696</v>
      </c>
      <c r="E317" s="6" t="s">
        <v>69</v>
      </c>
      <c r="F317" s="21">
        <v>8</v>
      </c>
      <c r="G317" s="23">
        <v>131.5</v>
      </c>
      <c r="H317" s="23">
        <v>27</v>
      </c>
      <c r="I317" s="23">
        <v>15.6</v>
      </c>
    </row>
    <row r="318" spans="1:9" ht="17">
      <c r="A318" s="6" t="s">
        <v>697</v>
      </c>
      <c r="B318" s="6" t="s">
        <v>20</v>
      </c>
      <c r="C318" s="6">
        <v>22</v>
      </c>
      <c r="D318" s="6" t="s">
        <v>698</v>
      </c>
      <c r="E318" s="6" t="s">
        <v>69</v>
      </c>
      <c r="F318" s="21">
        <v>9</v>
      </c>
      <c r="G318" s="23">
        <v>139</v>
      </c>
      <c r="H318" s="23">
        <v>27.8</v>
      </c>
      <c r="I318" s="23">
        <v>14.4</v>
      </c>
    </row>
    <row r="319" spans="1:9" ht="17">
      <c r="A319" s="6" t="s">
        <v>699</v>
      </c>
      <c r="B319" s="6" t="s">
        <v>20</v>
      </c>
      <c r="C319" s="6">
        <v>23</v>
      </c>
      <c r="D319" s="6" t="s">
        <v>700</v>
      </c>
      <c r="E319" s="6" t="s">
        <v>69</v>
      </c>
      <c r="F319" s="21">
        <v>9</v>
      </c>
      <c r="G319" s="23">
        <v>125.5</v>
      </c>
      <c r="H319" s="23">
        <v>20.100000000000001</v>
      </c>
      <c r="I319" s="23">
        <v>12.8</v>
      </c>
    </row>
    <row r="320" spans="1:9" ht="17">
      <c r="A320" s="6" t="s">
        <v>701</v>
      </c>
      <c r="B320" s="6" t="s">
        <v>20</v>
      </c>
      <c r="C320" s="6">
        <v>24</v>
      </c>
      <c r="D320" s="6" t="s">
        <v>702</v>
      </c>
      <c r="E320" s="6" t="s">
        <v>72</v>
      </c>
      <c r="F320" s="21">
        <v>9</v>
      </c>
      <c r="G320" s="23">
        <v>142.5</v>
      </c>
      <c r="H320" s="23">
        <v>32.9</v>
      </c>
      <c r="I320" s="23">
        <v>16.2</v>
      </c>
    </row>
    <row r="321" spans="1:9" ht="17">
      <c r="A321" s="6" t="s">
        <v>703</v>
      </c>
      <c r="B321" s="6" t="s">
        <v>20</v>
      </c>
      <c r="C321" s="6">
        <v>25</v>
      </c>
      <c r="D321" s="6" t="s">
        <v>704</v>
      </c>
      <c r="E321" s="6" t="s">
        <v>72</v>
      </c>
      <c r="F321" s="21">
        <v>9</v>
      </c>
      <c r="G321" s="23">
        <v>130</v>
      </c>
      <c r="H321" s="23">
        <v>24.7</v>
      </c>
      <c r="I321" s="23">
        <v>14.6</v>
      </c>
    </row>
    <row r="322" spans="1:9" ht="17">
      <c r="A322" s="6" t="s">
        <v>705</v>
      </c>
      <c r="B322" s="6" t="s">
        <v>20</v>
      </c>
      <c r="C322" s="6">
        <v>26</v>
      </c>
      <c r="D322" s="6" t="s">
        <v>706</v>
      </c>
      <c r="E322" s="6" t="s">
        <v>69</v>
      </c>
      <c r="F322" s="21">
        <v>9</v>
      </c>
      <c r="G322" s="23">
        <v>139.5</v>
      </c>
      <c r="H322" s="23">
        <v>29.7</v>
      </c>
      <c r="I322" s="23">
        <v>15.3</v>
      </c>
    </row>
    <row r="323" spans="1:9" ht="17">
      <c r="A323" s="6" t="s">
        <v>707</v>
      </c>
      <c r="B323" s="6" t="s">
        <v>20</v>
      </c>
      <c r="C323" s="6">
        <v>27</v>
      </c>
      <c r="D323" s="6" t="s">
        <v>708</v>
      </c>
      <c r="E323" s="6" t="s">
        <v>69</v>
      </c>
      <c r="F323" s="21">
        <v>9</v>
      </c>
      <c r="G323" s="23">
        <v>132.5</v>
      </c>
      <c r="H323" s="23">
        <v>20.100000000000001</v>
      </c>
      <c r="I323" s="23">
        <v>11.4</v>
      </c>
    </row>
    <row r="324" spans="1:9" ht="17">
      <c r="A324" s="6" t="s">
        <v>709</v>
      </c>
      <c r="B324" s="6" t="s">
        <v>20</v>
      </c>
      <c r="C324" s="6">
        <v>28</v>
      </c>
      <c r="D324" s="6" t="s">
        <v>710</v>
      </c>
      <c r="E324" s="6" t="s">
        <v>69</v>
      </c>
      <c r="F324" s="21">
        <v>9</v>
      </c>
      <c r="G324" s="23">
        <v>126.5</v>
      </c>
      <c r="H324" s="23">
        <v>23</v>
      </c>
      <c r="I324" s="23">
        <v>14.4</v>
      </c>
    </row>
    <row r="325" spans="1:9" ht="17">
      <c r="A325" s="6" t="s">
        <v>711</v>
      </c>
      <c r="B325" s="6" t="s">
        <v>20</v>
      </c>
      <c r="C325" s="6">
        <v>29</v>
      </c>
      <c r="D325" s="6" t="s">
        <v>712</v>
      </c>
      <c r="E325" s="6" t="s">
        <v>69</v>
      </c>
      <c r="F325" s="21">
        <v>9</v>
      </c>
      <c r="G325" s="23">
        <v>138.5</v>
      </c>
      <c r="H325" s="23">
        <v>27.2</v>
      </c>
      <c r="I325" s="23">
        <v>14.2</v>
      </c>
    </row>
    <row r="326" spans="1:9" ht="17">
      <c r="A326" s="6" t="s">
        <v>713</v>
      </c>
      <c r="B326" s="6" t="s">
        <v>20</v>
      </c>
      <c r="C326" s="6">
        <v>30</v>
      </c>
      <c r="D326" s="6" t="s">
        <v>714</v>
      </c>
      <c r="E326" s="6" t="s">
        <v>72</v>
      </c>
      <c r="F326" s="21">
        <v>9</v>
      </c>
      <c r="G326" s="23">
        <v>125.5</v>
      </c>
      <c r="H326" s="23">
        <v>25</v>
      </c>
      <c r="I326" s="23">
        <v>15.9</v>
      </c>
    </row>
    <row r="327" spans="1:9" ht="17">
      <c r="A327" s="6" t="s">
        <v>715</v>
      </c>
      <c r="B327" s="6" t="s">
        <v>20</v>
      </c>
      <c r="C327" s="6">
        <v>31</v>
      </c>
      <c r="D327" s="6" t="s">
        <v>716</v>
      </c>
      <c r="E327" s="6" t="s">
        <v>72</v>
      </c>
      <c r="F327" s="21">
        <v>9</v>
      </c>
      <c r="G327" s="23">
        <v>136.5</v>
      </c>
      <c r="H327" s="23">
        <v>23.2</v>
      </c>
      <c r="I327" s="23">
        <v>12.5</v>
      </c>
    </row>
    <row r="328" spans="1:9" ht="17">
      <c r="A328" s="6" t="s">
        <v>717</v>
      </c>
      <c r="B328" s="6" t="s">
        <v>20</v>
      </c>
      <c r="C328" s="6">
        <v>32</v>
      </c>
      <c r="D328" s="6" t="s">
        <v>718</v>
      </c>
      <c r="E328" s="6" t="s">
        <v>72</v>
      </c>
      <c r="F328" s="21">
        <v>9</v>
      </c>
      <c r="G328" s="23">
        <v>131</v>
      </c>
      <c r="H328" s="23">
        <v>27.2</v>
      </c>
      <c r="I328" s="23">
        <v>15.8</v>
      </c>
    </row>
    <row r="329" spans="1:9" ht="17">
      <c r="A329" s="6" t="s">
        <v>719</v>
      </c>
      <c r="B329" s="6" t="s">
        <v>20</v>
      </c>
      <c r="C329" s="6">
        <v>33</v>
      </c>
      <c r="D329" s="6" t="s">
        <v>720</v>
      </c>
      <c r="E329" s="6" t="s">
        <v>69</v>
      </c>
      <c r="F329" s="21">
        <v>9</v>
      </c>
      <c r="G329" s="23">
        <v>132</v>
      </c>
      <c r="H329" s="23">
        <v>26.2</v>
      </c>
      <c r="I329" s="23">
        <v>15</v>
      </c>
    </row>
    <row r="330" spans="1:9" ht="17">
      <c r="A330" s="6" t="s">
        <v>721</v>
      </c>
      <c r="B330" s="6" t="s">
        <v>20</v>
      </c>
      <c r="C330" s="6">
        <v>34</v>
      </c>
      <c r="D330" s="6" t="s">
        <v>722</v>
      </c>
      <c r="E330" s="6" t="s">
        <v>69</v>
      </c>
      <c r="F330" s="21">
        <v>9</v>
      </c>
      <c r="G330" s="23">
        <v>132</v>
      </c>
      <c r="H330" s="23">
        <v>29.6</v>
      </c>
      <c r="I330" s="23">
        <v>17</v>
      </c>
    </row>
    <row r="331" spans="1:9" ht="17">
      <c r="A331" s="6" t="s">
        <v>723</v>
      </c>
      <c r="B331" s="6" t="s">
        <v>21</v>
      </c>
      <c r="C331" s="6">
        <v>1</v>
      </c>
      <c r="D331" s="6" t="s">
        <v>724</v>
      </c>
      <c r="E331" s="6" t="s">
        <v>72</v>
      </c>
      <c r="F331" s="21">
        <v>9</v>
      </c>
      <c r="G331" s="23">
        <v>139.5</v>
      </c>
      <c r="H331" s="23">
        <v>34.200000000000003</v>
      </c>
      <c r="I331" s="23">
        <v>17.600000000000001</v>
      </c>
    </row>
    <row r="332" spans="1:9" ht="17">
      <c r="A332" s="6" t="s">
        <v>725</v>
      </c>
      <c r="B332" s="6" t="s">
        <v>21</v>
      </c>
      <c r="C332" s="6">
        <v>2</v>
      </c>
      <c r="D332" s="6" t="s">
        <v>726</v>
      </c>
      <c r="E332" s="6" t="s">
        <v>69</v>
      </c>
      <c r="F332" s="21">
        <v>9</v>
      </c>
      <c r="G332" s="23">
        <v>142</v>
      </c>
      <c r="H332" s="23">
        <v>26.6</v>
      </c>
      <c r="I332" s="23">
        <v>13.2</v>
      </c>
    </row>
    <row r="333" spans="1:9" ht="17">
      <c r="A333" s="6" t="s">
        <v>727</v>
      </c>
      <c r="B333" s="6" t="s">
        <v>21</v>
      </c>
      <c r="C333" s="6">
        <v>3</v>
      </c>
      <c r="D333" s="6" t="s">
        <v>728</v>
      </c>
      <c r="E333" s="6" t="s">
        <v>72</v>
      </c>
      <c r="F333" s="21">
        <v>9</v>
      </c>
      <c r="G333" s="23">
        <v>130.5</v>
      </c>
      <c r="H333" s="23">
        <v>23.1</v>
      </c>
      <c r="I333" s="23">
        <v>13.6</v>
      </c>
    </row>
    <row r="334" spans="1:9" ht="17">
      <c r="A334" s="6" t="s">
        <v>729</v>
      </c>
      <c r="B334" s="6" t="s">
        <v>21</v>
      </c>
      <c r="C334" s="6">
        <v>4</v>
      </c>
      <c r="D334" s="6" t="s">
        <v>730</v>
      </c>
      <c r="E334" s="6" t="s">
        <v>69</v>
      </c>
      <c r="F334" s="21">
        <v>9</v>
      </c>
      <c r="G334" s="23">
        <v>136</v>
      </c>
      <c r="H334" s="23">
        <v>40.6</v>
      </c>
      <c r="I334" s="23">
        <v>22</v>
      </c>
    </row>
    <row r="335" spans="1:9" ht="17">
      <c r="A335" s="6" t="s">
        <v>731</v>
      </c>
      <c r="B335" s="6" t="s">
        <v>21</v>
      </c>
      <c r="C335" s="6">
        <v>5</v>
      </c>
      <c r="D335" s="6" t="s">
        <v>732</v>
      </c>
      <c r="E335" s="6" t="s">
        <v>69</v>
      </c>
      <c r="F335" s="21">
        <v>9</v>
      </c>
      <c r="G335" s="23">
        <v>143.5</v>
      </c>
      <c r="H335" s="23">
        <v>27.7</v>
      </c>
      <c r="I335" s="23">
        <v>13.5</v>
      </c>
    </row>
    <row r="336" spans="1:9" ht="17">
      <c r="A336" s="6" t="s">
        <v>733</v>
      </c>
      <c r="B336" s="6" t="s">
        <v>21</v>
      </c>
      <c r="C336" s="6">
        <v>6</v>
      </c>
      <c r="D336" s="6" t="s">
        <v>734</v>
      </c>
      <c r="E336" s="6" t="s">
        <v>69</v>
      </c>
      <c r="F336" s="21">
        <v>9</v>
      </c>
      <c r="G336" s="23">
        <v>125</v>
      </c>
      <c r="H336" s="23">
        <v>22.2</v>
      </c>
      <c r="I336" s="23">
        <v>14.2</v>
      </c>
    </row>
    <row r="337" spans="1:9" ht="17">
      <c r="A337" s="6" t="s">
        <v>735</v>
      </c>
      <c r="B337" s="6" t="s">
        <v>21</v>
      </c>
      <c r="C337" s="6">
        <v>7</v>
      </c>
      <c r="D337" s="6" t="s">
        <v>736</v>
      </c>
      <c r="E337" s="6" t="s">
        <v>72</v>
      </c>
      <c r="F337" s="21">
        <v>9</v>
      </c>
      <c r="G337" s="23">
        <v>137</v>
      </c>
      <c r="H337" s="23">
        <v>45.4</v>
      </c>
      <c r="I337" s="23">
        <v>24.2</v>
      </c>
    </row>
    <row r="338" spans="1:9" ht="17">
      <c r="A338" s="6" t="s">
        <v>737</v>
      </c>
      <c r="B338" s="6" t="s">
        <v>21</v>
      </c>
      <c r="C338" s="6">
        <v>8</v>
      </c>
      <c r="D338" s="6" t="s">
        <v>738</v>
      </c>
      <c r="E338" s="6" t="s">
        <v>72</v>
      </c>
      <c r="F338" s="21">
        <v>9</v>
      </c>
      <c r="G338" s="23">
        <v>137</v>
      </c>
      <c r="H338" s="23">
        <v>27.7</v>
      </c>
      <c r="I338" s="23">
        <v>14.8</v>
      </c>
    </row>
    <row r="339" spans="1:9" ht="17">
      <c r="A339" s="6" t="s">
        <v>739</v>
      </c>
      <c r="B339" s="6" t="s">
        <v>21</v>
      </c>
      <c r="C339" s="6">
        <v>9</v>
      </c>
      <c r="D339" s="6" t="s">
        <v>740</v>
      </c>
      <c r="E339" s="6" t="s">
        <v>72</v>
      </c>
      <c r="F339" s="21">
        <v>9</v>
      </c>
      <c r="G339" s="23">
        <v>131.5</v>
      </c>
      <c r="H339" s="23">
        <v>26.9</v>
      </c>
      <c r="I339" s="23">
        <v>15.6</v>
      </c>
    </row>
    <row r="340" spans="1:9" ht="17">
      <c r="A340" s="6" t="s">
        <v>741</v>
      </c>
      <c r="B340" s="6" t="s">
        <v>21</v>
      </c>
      <c r="C340" s="6">
        <v>10</v>
      </c>
      <c r="D340" s="6" t="s">
        <v>742</v>
      </c>
      <c r="E340" s="6" t="s">
        <v>72</v>
      </c>
      <c r="F340" s="21">
        <v>8</v>
      </c>
      <c r="G340" s="23">
        <v>139.5</v>
      </c>
      <c r="H340" s="23">
        <v>51.5</v>
      </c>
      <c r="I340" s="23">
        <v>26.5</v>
      </c>
    </row>
    <row r="341" spans="1:9" ht="17">
      <c r="A341" s="6" t="s">
        <v>743</v>
      </c>
      <c r="B341" s="6" t="s">
        <v>21</v>
      </c>
      <c r="C341" s="6">
        <v>11</v>
      </c>
      <c r="D341" s="6" t="s">
        <v>744</v>
      </c>
      <c r="E341" s="6" t="s">
        <v>69</v>
      </c>
      <c r="F341" s="21">
        <v>9</v>
      </c>
      <c r="G341" s="23">
        <v>126.5</v>
      </c>
      <c r="H341" s="23">
        <v>22</v>
      </c>
      <c r="I341" s="23">
        <v>13.7</v>
      </c>
    </row>
    <row r="342" spans="1:9" ht="17">
      <c r="A342" s="6" t="s">
        <v>745</v>
      </c>
      <c r="B342" s="6" t="s">
        <v>21</v>
      </c>
      <c r="C342" s="6">
        <v>12</v>
      </c>
      <c r="D342" s="6" t="s">
        <v>746</v>
      </c>
      <c r="E342" s="6" t="s">
        <v>72</v>
      </c>
      <c r="F342" s="21">
        <v>9</v>
      </c>
      <c r="G342" s="23">
        <v>131</v>
      </c>
      <c r="H342" s="23">
        <v>23.2</v>
      </c>
      <c r="I342" s="23">
        <v>13.5</v>
      </c>
    </row>
    <row r="343" spans="1:9" ht="17">
      <c r="A343" s="6" t="s">
        <v>747</v>
      </c>
      <c r="B343" s="6" t="s">
        <v>21</v>
      </c>
      <c r="C343" s="6">
        <v>13</v>
      </c>
      <c r="D343" s="6" t="s">
        <v>748</v>
      </c>
      <c r="E343" s="6" t="s">
        <v>72</v>
      </c>
      <c r="F343" s="21">
        <v>9</v>
      </c>
      <c r="G343" s="23">
        <v>128</v>
      </c>
      <c r="H343" s="23">
        <v>25.1</v>
      </c>
      <c r="I343" s="23">
        <v>15.3</v>
      </c>
    </row>
    <row r="344" spans="1:9" ht="17">
      <c r="A344" s="6" t="s">
        <v>749</v>
      </c>
      <c r="B344" s="6" t="s">
        <v>21</v>
      </c>
      <c r="C344" s="6">
        <v>14</v>
      </c>
      <c r="D344" s="6" t="s">
        <v>750</v>
      </c>
      <c r="E344" s="6" t="s">
        <v>69</v>
      </c>
      <c r="F344" s="21">
        <v>9</v>
      </c>
      <c r="G344" s="23">
        <v>137</v>
      </c>
      <c r="H344" s="23">
        <v>32.299999999999997</v>
      </c>
      <c r="I344" s="23">
        <v>17.2</v>
      </c>
    </row>
    <row r="345" spans="1:9" ht="17">
      <c r="A345" s="6" t="s">
        <v>751</v>
      </c>
      <c r="B345" s="6" t="s">
        <v>21</v>
      </c>
      <c r="C345" s="6">
        <v>15</v>
      </c>
      <c r="D345" s="6" t="s">
        <v>752</v>
      </c>
      <c r="E345" s="6" t="s">
        <v>69</v>
      </c>
      <c r="F345" s="21">
        <v>9</v>
      </c>
      <c r="G345" s="23">
        <v>123</v>
      </c>
      <c r="H345" s="23">
        <v>23</v>
      </c>
      <c r="I345" s="23">
        <v>15.2</v>
      </c>
    </row>
    <row r="346" spans="1:9" ht="17">
      <c r="A346" s="6" t="s">
        <v>753</v>
      </c>
      <c r="B346" s="6" t="s">
        <v>21</v>
      </c>
      <c r="C346" s="6">
        <v>16</v>
      </c>
      <c r="D346" s="6" t="s">
        <v>754</v>
      </c>
      <c r="E346" s="6" t="s">
        <v>72</v>
      </c>
      <c r="F346" s="21">
        <v>10</v>
      </c>
      <c r="G346" s="23">
        <v>138</v>
      </c>
      <c r="H346" s="23">
        <v>33.5</v>
      </c>
      <c r="I346" s="23">
        <v>17.600000000000001</v>
      </c>
    </row>
    <row r="347" spans="1:9" ht="17">
      <c r="A347" s="6" t="s">
        <v>755</v>
      </c>
      <c r="B347" s="6" t="s">
        <v>21</v>
      </c>
      <c r="C347" s="6">
        <v>17</v>
      </c>
      <c r="D347" s="6" t="s">
        <v>756</v>
      </c>
      <c r="E347" s="6" t="s">
        <v>69</v>
      </c>
      <c r="F347" s="21">
        <v>9</v>
      </c>
      <c r="G347" s="23">
        <v>135.5</v>
      </c>
      <c r="H347" s="23">
        <v>31.3</v>
      </c>
      <c r="I347" s="23">
        <v>17</v>
      </c>
    </row>
    <row r="348" spans="1:9" ht="17">
      <c r="A348" s="6" t="s">
        <v>757</v>
      </c>
      <c r="B348" s="6" t="s">
        <v>21</v>
      </c>
      <c r="C348" s="6">
        <v>18</v>
      </c>
      <c r="D348" s="6" t="s">
        <v>758</v>
      </c>
      <c r="E348" s="6" t="s">
        <v>72</v>
      </c>
      <c r="F348" s="21">
        <v>8</v>
      </c>
      <c r="G348" s="23">
        <v>141.5</v>
      </c>
      <c r="H348" s="23">
        <v>54.6</v>
      </c>
      <c r="I348" s="23">
        <v>27.3</v>
      </c>
    </row>
    <row r="349" spans="1:9" ht="17">
      <c r="A349" s="6" t="s">
        <v>759</v>
      </c>
      <c r="B349" s="6" t="s">
        <v>21</v>
      </c>
      <c r="C349" s="6">
        <v>19</v>
      </c>
      <c r="D349" s="6" t="s">
        <v>760</v>
      </c>
      <c r="E349" s="6" t="s">
        <v>72</v>
      </c>
      <c r="F349" s="21">
        <v>9</v>
      </c>
      <c r="G349" s="23">
        <v>140.5</v>
      </c>
      <c r="H349" s="23">
        <v>36.9</v>
      </c>
      <c r="I349" s="23">
        <v>18.7</v>
      </c>
    </row>
    <row r="350" spans="1:9" ht="17">
      <c r="A350" s="6" t="s">
        <v>761</v>
      </c>
      <c r="B350" s="6" t="s">
        <v>21</v>
      </c>
      <c r="C350" s="6">
        <v>20</v>
      </c>
      <c r="D350" s="6" t="s">
        <v>762</v>
      </c>
      <c r="E350" s="6" t="s">
        <v>69</v>
      </c>
      <c r="F350" s="21">
        <v>9</v>
      </c>
      <c r="G350" s="23">
        <v>144.5</v>
      </c>
      <c r="H350" s="23">
        <v>38.6</v>
      </c>
      <c r="I350" s="23">
        <v>18.5</v>
      </c>
    </row>
    <row r="351" spans="1:9" ht="17">
      <c r="A351" s="6" t="s">
        <v>763</v>
      </c>
      <c r="B351" s="6" t="s">
        <v>21</v>
      </c>
      <c r="C351" s="6">
        <v>21</v>
      </c>
      <c r="D351" s="6" t="s">
        <v>764</v>
      </c>
      <c r="E351" s="6" t="s">
        <v>69</v>
      </c>
      <c r="F351" s="21">
        <v>9</v>
      </c>
      <c r="G351" s="23">
        <v>148.5</v>
      </c>
      <c r="H351" s="23">
        <v>39.5</v>
      </c>
      <c r="I351" s="23">
        <v>17.899999999999999</v>
      </c>
    </row>
    <row r="352" spans="1:9" ht="17">
      <c r="A352" s="6" t="s">
        <v>765</v>
      </c>
      <c r="B352" s="6" t="s">
        <v>21</v>
      </c>
      <c r="C352" s="6">
        <v>22</v>
      </c>
      <c r="D352" s="6" t="s">
        <v>766</v>
      </c>
      <c r="E352" s="6" t="s">
        <v>69</v>
      </c>
      <c r="F352" s="21">
        <v>9</v>
      </c>
      <c r="G352" s="23">
        <v>130.5</v>
      </c>
      <c r="H352" s="23">
        <v>26.9</v>
      </c>
      <c r="I352" s="23">
        <v>15.8</v>
      </c>
    </row>
    <row r="353" spans="1:9" ht="17">
      <c r="A353" s="6" t="s">
        <v>767</v>
      </c>
      <c r="B353" s="6" t="s">
        <v>21</v>
      </c>
      <c r="C353" s="6">
        <v>23</v>
      </c>
      <c r="D353" s="6" t="s">
        <v>768</v>
      </c>
      <c r="E353" s="6" t="s">
        <v>69</v>
      </c>
      <c r="F353" s="21">
        <v>9</v>
      </c>
      <c r="G353" s="23">
        <v>138</v>
      </c>
      <c r="H353" s="23">
        <v>27</v>
      </c>
      <c r="I353" s="23">
        <v>14.2</v>
      </c>
    </row>
    <row r="354" spans="1:9" ht="17">
      <c r="A354" s="6" t="s">
        <v>769</v>
      </c>
      <c r="B354" s="6" t="s">
        <v>21</v>
      </c>
      <c r="C354" s="6">
        <v>24</v>
      </c>
      <c r="D354" s="6" t="s">
        <v>770</v>
      </c>
      <c r="E354" s="6" t="s">
        <v>69</v>
      </c>
      <c r="F354" s="21">
        <v>9</v>
      </c>
      <c r="G354" s="23">
        <v>134.5</v>
      </c>
      <c r="H354" s="23">
        <v>24.1</v>
      </c>
      <c r="I354" s="23">
        <v>13.3</v>
      </c>
    </row>
    <row r="355" spans="1:9" ht="17">
      <c r="A355" s="6" t="s">
        <v>771</v>
      </c>
      <c r="B355" s="6" t="s">
        <v>21</v>
      </c>
      <c r="C355" s="6">
        <v>25</v>
      </c>
      <c r="D355" s="6" t="s">
        <v>772</v>
      </c>
      <c r="E355" s="6" t="s">
        <v>69</v>
      </c>
      <c r="F355" s="21">
        <v>9</v>
      </c>
      <c r="G355" s="23">
        <v>123.5</v>
      </c>
      <c r="H355" s="23">
        <v>21.1</v>
      </c>
      <c r="I355" s="23">
        <v>13.8</v>
      </c>
    </row>
    <row r="356" spans="1:9" ht="17">
      <c r="A356" s="6" t="s">
        <v>773</v>
      </c>
      <c r="B356" s="6" t="s">
        <v>21</v>
      </c>
      <c r="C356" s="6">
        <v>26</v>
      </c>
      <c r="D356" s="6" t="s">
        <v>774</v>
      </c>
      <c r="E356" s="6" t="s">
        <v>69</v>
      </c>
      <c r="F356" s="21">
        <v>9</v>
      </c>
      <c r="G356" s="23">
        <v>132.5</v>
      </c>
      <c r="H356" s="23">
        <v>33.9</v>
      </c>
      <c r="I356" s="23">
        <v>19.3</v>
      </c>
    </row>
    <row r="357" spans="1:9" ht="17">
      <c r="A357" s="6" t="s">
        <v>775</v>
      </c>
      <c r="B357" s="6" t="s">
        <v>21</v>
      </c>
      <c r="C357" s="6">
        <v>27</v>
      </c>
      <c r="D357" s="6" t="s">
        <v>776</v>
      </c>
      <c r="E357" s="6" t="s">
        <v>69</v>
      </c>
      <c r="F357" s="21">
        <v>9</v>
      </c>
      <c r="G357" s="23">
        <v>149.5</v>
      </c>
      <c r="H357" s="23">
        <v>52.7</v>
      </c>
      <c r="I357" s="23">
        <v>23.6</v>
      </c>
    </row>
    <row r="358" spans="1:9" ht="17">
      <c r="A358" s="6" t="s">
        <v>777</v>
      </c>
      <c r="B358" s="6" t="s">
        <v>21</v>
      </c>
      <c r="C358" s="6">
        <v>28</v>
      </c>
      <c r="D358" s="6" t="s">
        <v>778</v>
      </c>
      <c r="E358" s="6" t="s">
        <v>69</v>
      </c>
      <c r="F358" s="21">
        <v>8</v>
      </c>
      <c r="G358" s="23">
        <v>123.5</v>
      </c>
      <c r="H358" s="23">
        <v>21.1</v>
      </c>
      <c r="I358" s="23">
        <v>13.8</v>
      </c>
    </row>
    <row r="359" spans="1:9" ht="17">
      <c r="A359" s="6" t="s">
        <v>779</v>
      </c>
      <c r="B359" s="6" t="s">
        <v>21</v>
      </c>
      <c r="C359" s="6">
        <v>29</v>
      </c>
      <c r="D359" s="6" t="s">
        <v>780</v>
      </c>
      <c r="E359" s="6" t="s">
        <v>72</v>
      </c>
      <c r="F359" s="21">
        <v>9</v>
      </c>
      <c r="G359" s="23">
        <v>134</v>
      </c>
      <c r="H359" s="23">
        <v>25.8</v>
      </c>
      <c r="I359" s="23">
        <v>14.4</v>
      </c>
    </row>
    <row r="360" spans="1:9" ht="17">
      <c r="A360" s="6" t="s">
        <v>781</v>
      </c>
      <c r="B360" s="6" t="s">
        <v>21</v>
      </c>
      <c r="C360" s="6">
        <v>30</v>
      </c>
      <c r="D360" s="6" t="s">
        <v>782</v>
      </c>
      <c r="E360" s="6" t="s">
        <v>69</v>
      </c>
      <c r="F360" s="21">
        <v>8</v>
      </c>
      <c r="G360" s="23">
        <v>132</v>
      </c>
      <c r="H360" s="23">
        <v>25.5</v>
      </c>
      <c r="I360" s="23">
        <v>14.6</v>
      </c>
    </row>
    <row r="361" spans="1:9" ht="17">
      <c r="A361" s="6" t="s">
        <v>783</v>
      </c>
      <c r="B361" s="6" t="s">
        <v>21</v>
      </c>
      <c r="C361" s="6">
        <v>31</v>
      </c>
      <c r="D361" s="6" t="s">
        <v>784</v>
      </c>
      <c r="E361" s="6" t="s">
        <v>72</v>
      </c>
      <c r="F361" s="21">
        <v>9</v>
      </c>
      <c r="G361" s="23">
        <v>126.5</v>
      </c>
      <c r="H361" s="23">
        <v>25.1</v>
      </c>
      <c r="I361" s="23">
        <v>15.7</v>
      </c>
    </row>
    <row r="362" spans="1:9" ht="17">
      <c r="A362" s="6" t="s">
        <v>785</v>
      </c>
      <c r="B362" s="6" t="s">
        <v>21</v>
      </c>
      <c r="C362" s="6">
        <v>32</v>
      </c>
      <c r="D362" s="6" t="s">
        <v>786</v>
      </c>
      <c r="E362" s="6" t="s">
        <v>72</v>
      </c>
      <c r="F362" s="21">
        <v>9</v>
      </c>
      <c r="G362" s="23">
        <v>130</v>
      </c>
      <c r="H362" s="23">
        <v>24.4</v>
      </c>
      <c r="I362" s="23">
        <v>14.4</v>
      </c>
    </row>
    <row r="363" spans="1:9" ht="17">
      <c r="A363" s="6" t="s">
        <v>787</v>
      </c>
      <c r="B363" s="6" t="s">
        <v>21</v>
      </c>
      <c r="C363" s="6">
        <v>33</v>
      </c>
      <c r="D363" s="6" t="s">
        <v>788</v>
      </c>
      <c r="E363" s="6" t="s">
        <v>69</v>
      </c>
      <c r="F363" s="21">
        <v>10</v>
      </c>
      <c r="G363" s="23">
        <v>143</v>
      </c>
      <c r="H363" s="23">
        <v>36.1</v>
      </c>
      <c r="I363" s="23">
        <v>17.7</v>
      </c>
    </row>
    <row r="364" spans="1:9" ht="17">
      <c r="A364" s="6" t="s">
        <v>789</v>
      </c>
      <c r="B364" s="6" t="s">
        <v>22</v>
      </c>
      <c r="C364" s="6">
        <v>1</v>
      </c>
      <c r="D364" s="6" t="s">
        <v>790</v>
      </c>
      <c r="E364" s="6" t="s">
        <v>69</v>
      </c>
      <c r="F364" s="21">
        <v>8</v>
      </c>
      <c r="G364" s="23">
        <v>131.5</v>
      </c>
      <c r="H364" s="23">
        <v>23.7</v>
      </c>
      <c r="I364" s="23">
        <v>13.7</v>
      </c>
    </row>
    <row r="365" spans="1:9" ht="17">
      <c r="A365" s="6" t="s">
        <v>791</v>
      </c>
      <c r="B365" s="6" t="s">
        <v>22</v>
      </c>
      <c r="C365" s="6">
        <v>2</v>
      </c>
      <c r="D365" s="6" t="s">
        <v>792</v>
      </c>
      <c r="E365" s="6" t="s">
        <v>69</v>
      </c>
      <c r="F365" s="21">
        <v>9</v>
      </c>
      <c r="G365" s="23">
        <v>132</v>
      </c>
      <c r="H365" s="23">
        <v>29.7</v>
      </c>
      <c r="I365" s="23">
        <v>17</v>
      </c>
    </row>
    <row r="366" spans="1:9" ht="17">
      <c r="A366" s="6" t="s">
        <v>793</v>
      </c>
      <c r="B366" s="6" t="s">
        <v>22</v>
      </c>
      <c r="C366" s="6">
        <v>3</v>
      </c>
      <c r="D366" s="6" t="s">
        <v>794</v>
      </c>
      <c r="E366" s="6" t="s">
        <v>69</v>
      </c>
      <c r="F366" s="21">
        <v>9</v>
      </c>
      <c r="G366" s="23">
        <v>132</v>
      </c>
      <c r="H366" s="23">
        <v>24.6</v>
      </c>
      <c r="I366" s="23">
        <v>14.1</v>
      </c>
    </row>
    <row r="367" spans="1:9" ht="17">
      <c r="A367" s="6" t="s">
        <v>795</v>
      </c>
      <c r="B367" s="6" t="s">
        <v>22</v>
      </c>
      <c r="C367" s="6">
        <v>4</v>
      </c>
      <c r="D367" s="6" t="s">
        <v>796</v>
      </c>
      <c r="E367" s="6" t="s">
        <v>72</v>
      </c>
      <c r="F367" s="21">
        <v>9</v>
      </c>
      <c r="G367" s="23">
        <v>134.5</v>
      </c>
      <c r="H367" s="23">
        <v>25.9</v>
      </c>
      <c r="I367" s="23">
        <v>14.3</v>
      </c>
    </row>
    <row r="368" spans="1:9" ht="17">
      <c r="A368" s="6" t="s">
        <v>797</v>
      </c>
      <c r="B368" s="6" t="s">
        <v>22</v>
      </c>
      <c r="C368" s="6">
        <v>5</v>
      </c>
      <c r="D368" s="6" t="s">
        <v>798</v>
      </c>
      <c r="E368" s="6" t="s">
        <v>72</v>
      </c>
      <c r="F368" s="21">
        <v>9</v>
      </c>
      <c r="G368" s="23">
        <v>134</v>
      </c>
      <c r="H368" s="23">
        <v>37.700000000000003</v>
      </c>
      <c r="I368" s="23">
        <v>21</v>
      </c>
    </row>
    <row r="369" spans="1:9" ht="17">
      <c r="A369" s="6" t="s">
        <v>799</v>
      </c>
      <c r="B369" s="6" t="s">
        <v>22</v>
      </c>
      <c r="C369" s="6">
        <v>6</v>
      </c>
      <c r="D369" s="6" t="s">
        <v>800</v>
      </c>
      <c r="E369" s="6" t="s">
        <v>69</v>
      </c>
      <c r="F369" s="21">
        <v>9</v>
      </c>
      <c r="G369" s="23">
        <v>130</v>
      </c>
      <c r="H369" s="23">
        <v>32.9</v>
      </c>
      <c r="I369" s="23">
        <v>19.5</v>
      </c>
    </row>
    <row r="370" spans="1:9" ht="17">
      <c r="A370" s="6" t="s">
        <v>801</v>
      </c>
      <c r="B370" s="6" t="s">
        <v>22</v>
      </c>
      <c r="C370" s="6">
        <v>7</v>
      </c>
      <c r="D370" s="6" t="s">
        <v>802</v>
      </c>
      <c r="E370" s="6" t="s">
        <v>69</v>
      </c>
      <c r="F370" s="21">
        <v>9</v>
      </c>
      <c r="G370" s="23">
        <v>130.5</v>
      </c>
      <c r="H370" s="23">
        <v>29.3</v>
      </c>
      <c r="I370" s="23">
        <v>17.2</v>
      </c>
    </row>
    <row r="371" spans="1:9" ht="17">
      <c r="A371" s="6" t="s">
        <v>803</v>
      </c>
      <c r="B371" s="6" t="s">
        <v>22</v>
      </c>
      <c r="C371" s="6">
        <v>8</v>
      </c>
      <c r="D371" s="6" t="s">
        <v>804</v>
      </c>
      <c r="E371" s="6" t="s">
        <v>69</v>
      </c>
      <c r="F371" s="21">
        <v>9</v>
      </c>
      <c r="G371" s="23">
        <v>137</v>
      </c>
      <c r="H371" s="23">
        <v>34</v>
      </c>
      <c r="I371" s="23">
        <v>18.100000000000001</v>
      </c>
    </row>
    <row r="372" spans="1:9" ht="17">
      <c r="A372" s="6" t="s">
        <v>805</v>
      </c>
      <c r="B372" s="6" t="s">
        <v>22</v>
      </c>
      <c r="C372" s="6">
        <v>9</v>
      </c>
      <c r="D372" s="6" t="s">
        <v>806</v>
      </c>
      <c r="E372" s="6" t="s">
        <v>69</v>
      </c>
      <c r="F372" s="21">
        <v>9</v>
      </c>
      <c r="G372" s="23">
        <v>134.5</v>
      </c>
      <c r="H372" s="23">
        <v>23.9</v>
      </c>
      <c r="I372" s="23">
        <v>13.2</v>
      </c>
    </row>
    <row r="373" spans="1:9" ht="17">
      <c r="A373" s="6" t="s">
        <v>807</v>
      </c>
      <c r="B373" s="6" t="s">
        <v>22</v>
      </c>
      <c r="C373" s="6">
        <v>10</v>
      </c>
      <c r="D373" s="6" t="s">
        <v>808</v>
      </c>
      <c r="E373" s="6" t="s">
        <v>72</v>
      </c>
      <c r="F373" s="21">
        <v>9</v>
      </c>
      <c r="G373" s="23">
        <v>123</v>
      </c>
      <c r="H373" s="23">
        <v>20.399999999999999</v>
      </c>
      <c r="I373" s="23">
        <v>13.5</v>
      </c>
    </row>
    <row r="374" spans="1:9" ht="17">
      <c r="A374" s="6" t="s">
        <v>809</v>
      </c>
      <c r="B374" s="6" t="s">
        <v>22</v>
      </c>
      <c r="C374" s="6">
        <v>11</v>
      </c>
      <c r="D374" s="6" t="s">
        <v>810</v>
      </c>
      <c r="E374" s="6" t="s">
        <v>69</v>
      </c>
      <c r="F374" s="21">
        <v>9</v>
      </c>
      <c r="G374" s="23">
        <v>135.5</v>
      </c>
      <c r="H374" s="23">
        <v>29.3</v>
      </c>
      <c r="I374" s="23">
        <v>16</v>
      </c>
    </row>
    <row r="375" spans="1:9" ht="17">
      <c r="A375" s="6" t="s">
        <v>811</v>
      </c>
      <c r="B375" s="6" t="s">
        <v>22</v>
      </c>
      <c r="C375" s="6">
        <v>12</v>
      </c>
      <c r="D375" s="6" t="s">
        <v>812</v>
      </c>
      <c r="E375" s="6" t="s">
        <v>69</v>
      </c>
      <c r="F375" s="21">
        <v>9</v>
      </c>
      <c r="G375" s="23">
        <v>142</v>
      </c>
      <c r="H375" s="23">
        <v>29.3</v>
      </c>
      <c r="I375" s="23">
        <v>14.5</v>
      </c>
    </row>
    <row r="376" spans="1:9" ht="17">
      <c r="A376" s="6" t="s">
        <v>813</v>
      </c>
      <c r="B376" s="6" t="s">
        <v>22</v>
      </c>
      <c r="C376" s="6">
        <v>13</v>
      </c>
      <c r="D376" s="6" t="s">
        <v>814</v>
      </c>
      <c r="E376" s="6" t="s">
        <v>69</v>
      </c>
      <c r="F376" s="21">
        <v>9</v>
      </c>
      <c r="G376" s="23">
        <v>130.5</v>
      </c>
      <c r="H376" s="23">
        <v>28.3</v>
      </c>
      <c r="I376" s="23">
        <v>16.600000000000001</v>
      </c>
    </row>
    <row r="377" spans="1:9" ht="17">
      <c r="A377" s="6" t="s">
        <v>815</v>
      </c>
      <c r="B377" s="6" t="s">
        <v>22</v>
      </c>
      <c r="C377" s="6">
        <v>14</v>
      </c>
      <c r="D377" s="6" t="s">
        <v>816</v>
      </c>
      <c r="E377" s="6" t="s">
        <v>72</v>
      </c>
      <c r="F377" s="21">
        <v>9</v>
      </c>
      <c r="G377" s="23">
        <v>136.5</v>
      </c>
      <c r="H377" s="23">
        <v>28.2</v>
      </c>
      <c r="I377" s="23">
        <v>15.1</v>
      </c>
    </row>
    <row r="378" spans="1:9" ht="17">
      <c r="A378" s="6" t="s">
        <v>817</v>
      </c>
      <c r="B378" s="6" t="s">
        <v>22</v>
      </c>
      <c r="C378" s="6">
        <v>15</v>
      </c>
      <c r="D378" s="6" t="s">
        <v>818</v>
      </c>
      <c r="E378" s="6" t="s">
        <v>69</v>
      </c>
      <c r="F378" s="21">
        <v>9</v>
      </c>
      <c r="G378" s="23">
        <v>132.5</v>
      </c>
      <c r="H378" s="23">
        <v>26.3</v>
      </c>
      <c r="I378" s="23">
        <v>15</v>
      </c>
    </row>
    <row r="379" spans="1:9" ht="17">
      <c r="A379" s="6" t="s">
        <v>819</v>
      </c>
      <c r="B379" s="6" t="s">
        <v>22</v>
      </c>
      <c r="C379" s="6">
        <v>16</v>
      </c>
      <c r="D379" s="6" t="s">
        <v>820</v>
      </c>
      <c r="E379" s="6" t="s">
        <v>72</v>
      </c>
      <c r="F379" s="21">
        <v>8</v>
      </c>
      <c r="G379" s="23">
        <v>136.5</v>
      </c>
      <c r="H379" s="23">
        <v>41.6</v>
      </c>
      <c r="I379" s="23">
        <v>22.3</v>
      </c>
    </row>
    <row r="380" spans="1:9" ht="17">
      <c r="A380" s="6" t="s">
        <v>821</v>
      </c>
      <c r="B380" s="6" t="s">
        <v>22</v>
      </c>
      <c r="C380" s="6">
        <v>17</v>
      </c>
      <c r="D380" s="6" t="s">
        <v>822</v>
      </c>
      <c r="E380" s="6" t="s">
        <v>69</v>
      </c>
      <c r="F380" s="21">
        <v>9</v>
      </c>
      <c r="G380" s="23">
        <v>142.5</v>
      </c>
      <c r="H380" s="23">
        <v>34.9</v>
      </c>
      <c r="I380" s="23">
        <v>17.2</v>
      </c>
    </row>
    <row r="381" spans="1:9" ht="17">
      <c r="A381" s="6" t="s">
        <v>823</v>
      </c>
      <c r="B381" s="6" t="s">
        <v>22</v>
      </c>
      <c r="C381" s="6">
        <v>18</v>
      </c>
      <c r="D381" s="6" t="s">
        <v>824</v>
      </c>
      <c r="E381" s="6" t="s">
        <v>69</v>
      </c>
      <c r="F381" s="21">
        <v>8</v>
      </c>
      <c r="G381" s="23">
        <v>129.5</v>
      </c>
      <c r="H381" s="23">
        <v>26.2</v>
      </c>
      <c r="I381" s="23">
        <v>15.6</v>
      </c>
    </row>
    <row r="382" spans="1:9" ht="17">
      <c r="A382" s="6" t="s">
        <v>825</v>
      </c>
      <c r="B382" s="6" t="s">
        <v>22</v>
      </c>
      <c r="C382" s="6">
        <v>19</v>
      </c>
      <c r="D382" s="6" t="s">
        <v>826</v>
      </c>
      <c r="E382" s="6" t="s">
        <v>72</v>
      </c>
      <c r="F382" s="21">
        <v>9</v>
      </c>
      <c r="G382" s="23">
        <v>133</v>
      </c>
      <c r="H382" s="23">
        <v>25.4</v>
      </c>
      <c r="I382" s="23">
        <v>14.4</v>
      </c>
    </row>
    <row r="383" spans="1:9" ht="17">
      <c r="A383" s="6" t="s">
        <v>827</v>
      </c>
      <c r="B383" s="6" t="s">
        <v>22</v>
      </c>
      <c r="C383" s="6">
        <v>20</v>
      </c>
      <c r="D383" s="6" t="s">
        <v>828</v>
      </c>
      <c r="E383" s="6" t="s">
        <v>69</v>
      </c>
      <c r="F383" s="21">
        <v>9</v>
      </c>
      <c r="G383" s="23">
        <v>138</v>
      </c>
      <c r="H383" s="23">
        <v>38.1</v>
      </c>
      <c r="I383" s="23">
        <v>20</v>
      </c>
    </row>
    <row r="384" spans="1:9" ht="17">
      <c r="A384" s="6" t="s">
        <v>829</v>
      </c>
      <c r="B384" s="6" t="s">
        <v>22</v>
      </c>
      <c r="C384" s="6">
        <v>21</v>
      </c>
      <c r="D384" s="6" t="s">
        <v>830</v>
      </c>
      <c r="E384" s="6" t="s">
        <v>72</v>
      </c>
      <c r="F384" s="21">
        <v>9</v>
      </c>
      <c r="G384" s="23">
        <v>125.5</v>
      </c>
      <c r="H384" s="23">
        <v>20</v>
      </c>
      <c r="I384" s="23">
        <v>12.7</v>
      </c>
    </row>
    <row r="385" spans="1:9" ht="17">
      <c r="A385" s="6" t="s">
        <v>831</v>
      </c>
      <c r="B385" s="6" t="s">
        <v>22</v>
      </c>
      <c r="C385" s="6">
        <v>22</v>
      </c>
      <c r="D385" s="6" t="s">
        <v>832</v>
      </c>
      <c r="E385" s="6" t="s">
        <v>72</v>
      </c>
      <c r="F385" s="21">
        <v>9</v>
      </c>
      <c r="G385" s="23">
        <v>130.5</v>
      </c>
      <c r="H385" s="23">
        <v>31</v>
      </c>
      <c r="I385" s="23">
        <v>18.2</v>
      </c>
    </row>
    <row r="386" spans="1:9" ht="17">
      <c r="A386" s="6" t="s">
        <v>833</v>
      </c>
      <c r="B386" s="6" t="s">
        <v>22</v>
      </c>
      <c r="C386" s="6">
        <v>23</v>
      </c>
      <c r="D386" s="6" t="s">
        <v>834</v>
      </c>
      <c r="E386" s="6" t="s">
        <v>72</v>
      </c>
      <c r="F386" s="21">
        <v>9</v>
      </c>
      <c r="G386" s="23">
        <v>137</v>
      </c>
      <c r="H386" s="23">
        <v>31.1</v>
      </c>
      <c r="I386" s="23">
        <v>16.600000000000001</v>
      </c>
    </row>
    <row r="387" spans="1:9" ht="17">
      <c r="A387" s="6" t="s">
        <v>835</v>
      </c>
      <c r="B387" s="6" t="s">
        <v>22</v>
      </c>
      <c r="C387" s="6">
        <v>24</v>
      </c>
      <c r="D387" s="6" t="s">
        <v>836</v>
      </c>
      <c r="E387" s="6" t="s">
        <v>72</v>
      </c>
      <c r="F387" s="21">
        <v>9</v>
      </c>
      <c r="G387" s="23">
        <v>139</v>
      </c>
      <c r="H387" s="23">
        <v>36.299999999999997</v>
      </c>
      <c r="I387" s="23">
        <v>18.8</v>
      </c>
    </row>
    <row r="388" spans="1:9" ht="17">
      <c r="A388" s="6" t="s">
        <v>837</v>
      </c>
      <c r="B388" s="6" t="s">
        <v>22</v>
      </c>
      <c r="C388" s="6">
        <v>25</v>
      </c>
      <c r="D388" s="6" t="s">
        <v>838</v>
      </c>
      <c r="E388" s="6" t="s">
        <v>72</v>
      </c>
      <c r="F388" s="21">
        <v>9</v>
      </c>
      <c r="G388" s="23">
        <v>132.5</v>
      </c>
      <c r="H388" s="23">
        <v>27</v>
      </c>
      <c r="I388" s="23">
        <v>15.4</v>
      </c>
    </row>
    <row r="389" spans="1:9" ht="17">
      <c r="A389" s="6" t="s">
        <v>839</v>
      </c>
      <c r="B389" s="6" t="s">
        <v>22</v>
      </c>
      <c r="C389" s="6">
        <v>26</v>
      </c>
      <c r="D389" s="6" t="s">
        <v>840</v>
      </c>
      <c r="E389" s="6" t="s">
        <v>69</v>
      </c>
      <c r="F389" s="21">
        <v>9</v>
      </c>
      <c r="G389" s="23">
        <v>133</v>
      </c>
      <c r="H389" s="23">
        <v>25.8</v>
      </c>
      <c r="I389" s="23">
        <v>14.6</v>
      </c>
    </row>
    <row r="390" spans="1:9" ht="17">
      <c r="A390" s="6" t="s">
        <v>841</v>
      </c>
      <c r="B390" s="6" t="s">
        <v>22</v>
      </c>
      <c r="C390" s="6">
        <v>27</v>
      </c>
      <c r="D390" s="6" t="s">
        <v>842</v>
      </c>
      <c r="E390" s="6" t="s">
        <v>72</v>
      </c>
      <c r="F390" s="21">
        <v>9</v>
      </c>
      <c r="G390" s="23">
        <v>140.5</v>
      </c>
      <c r="H390" s="23">
        <v>40.700000000000003</v>
      </c>
      <c r="I390" s="23">
        <v>20.6</v>
      </c>
    </row>
    <row r="391" spans="1:9" ht="17">
      <c r="A391" s="6" t="s">
        <v>843</v>
      </c>
      <c r="B391" s="6" t="s">
        <v>22</v>
      </c>
      <c r="C391" s="6">
        <v>28</v>
      </c>
      <c r="D391" s="6" t="s">
        <v>844</v>
      </c>
      <c r="E391" s="6" t="s">
        <v>72</v>
      </c>
      <c r="F391" s="21">
        <v>9</v>
      </c>
      <c r="G391" s="23">
        <v>132</v>
      </c>
      <c r="H391" s="23">
        <v>34.4</v>
      </c>
      <c r="I391" s="23">
        <v>19.7</v>
      </c>
    </row>
    <row r="392" spans="1:9" ht="17">
      <c r="A392" s="6" t="s">
        <v>845</v>
      </c>
      <c r="B392" s="6" t="s">
        <v>22</v>
      </c>
      <c r="C392" s="6">
        <v>29</v>
      </c>
      <c r="D392" s="6" t="s">
        <v>846</v>
      </c>
      <c r="E392" s="6" t="s">
        <v>69</v>
      </c>
      <c r="F392" s="21">
        <v>8</v>
      </c>
      <c r="G392" s="23">
        <v>124</v>
      </c>
      <c r="H392" s="23">
        <v>20.3</v>
      </c>
      <c r="I392" s="23">
        <v>13.2</v>
      </c>
    </row>
    <row r="393" spans="1:9" ht="17">
      <c r="A393" s="6" t="s">
        <v>847</v>
      </c>
      <c r="B393" s="6" t="s">
        <v>22</v>
      </c>
      <c r="C393" s="6">
        <v>30</v>
      </c>
      <c r="D393" s="6" t="s">
        <v>848</v>
      </c>
      <c r="E393" s="6" t="s">
        <v>72</v>
      </c>
      <c r="F393" s="21">
        <v>9</v>
      </c>
      <c r="G393" s="23">
        <v>130</v>
      </c>
      <c r="H393" s="23">
        <v>27.5</v>
      </c>
      <c r="I393" s="23">
        <v>16.3</v>
      </c>
    </row>
    <row r="394" spans="1:9" ht="17">
      <c r="A394" s="6" t="s">
        <v>849</v>
      </c>
      <c r="B394" s="6" t="s">
        <v>22</v>
      </c>
      <c r="C394" s="6">
        <v>31</v>
      </c>
      <c r="D394" s="6" t="s">
        <v>850</v>
      </c>
      <c r="E394" s="6" t="s">
        <v>72</v>
      </c>
      <c r="F394" s="21">
        <v>9</v>
      </c>
      <c r="G394" s="23">
        <v>139.5</v>
      </c>
      <c r="H394" s="23">
        <v>35.200000000000003</v>
      </c>
      <c r="I394" s="23">
        <v>18.100000000000001</v>
      </c>
    </row>
    <row r="395" spans="1:9" ht="17">
      <c r="A395" s="6" t="s">
        <v>851</v>
      </c>
      <c r="B395" s="6" t="s">
        <v>22</v>
      </c>
      <c r="C395" s="6">
        <v>32</v>
      </c>
      <c r="D395" s="6" t="s">
        <v>852</v>
      </c>
      <c r="E395" s="6" t="s">
        <v>72</v>
      </c>
      <c r="F395" s="21">
        <v>9</v>
      </c>
      <c r="G395" s="23">
        <v>134</v>
      </c>
      <c r="H395" s="23">
        <v>25</v>
      </c>
      <c r="I395" s="23">
        <v>13.9</v>
      </c>
    </row>
    <row r="396" spans="1:9" ht="17">
      <c r="A396" s="6" t="s">
        <v>853</v>
      </c>
      <c r="B396" s="6" t="s">
        <v>22</v>
      </c>
      <c r="C396" s="6">
        <v>33</v>
      </c>
      <c r="D396" s="6" t="s">
        <v>854</v>
      </c>
      <c r="E396" s="6" t="s">
        <v>72</v>
      </c>
      <c r="F396" s="21">
        <v>9</v>
      </c>
      <c r="G396" s="23">
        <v>141.5</v>
      </c>
      <c r="H396" s="23">
        <v>32.6</v>
      </c>
      <c r="I396" s="23">
        <v>16.3</v>
      </c>
    </row>
    <row r="397" spans="1:9" ht="17">
      <c r="A397" s="6" t="s">
        <v>855</v>
      </c>
      <c r="B397" s="6" t="s">
        <v>22</v>
      </c>
      <c r="C397" s="6">
        <v>34</v>
      </c>
      <c r="D397" s="6" t="s">
        <v>856</v>
      </c>
      <c r="E397" s="6" t="s">
        <v>72</v>
      </c>
      <c r="F397" s="21">
        <v>9</v>
      </c>
      <c r="G397" s="23">
        <v>139</v>
      </c>
      <c r="H397" s="23">
        <v>29.8</v>
      </c>
      <c r="I397" s="23">
        <v>15.4</v>
      </c>
    </row>
    <row r="398" spans="1:9" ht="17">
      <c r="A398" s="6" t="s">
        <v>857</v>
      </c>
      <c r="B398" s="6" t="s">
        <v>23</v>
      </c>
      <c r="C398" s="6">
        <v>1</v>
      </c>
      <c r="D398" s="6" t="s">
        <v>858</v>
      </c>
      <c r="E398" s="6" t="s">
        <v>72</v>
      </c>
      <c r="F398" s="21">
        <v>10</v>
      </c>
      <c r="G398" s="23">
        <v>135.5</v>
      </c>
      <c r="H398" s="23">
        <v>26.6</v>
      </c>
      <c r="I398" s="23">
        <v>14.5</v>
      </c>
    </row>
    <row r="399" spans="1:9" ht="17">
      <c r="A399" s="6" t="s">
        <v>859</v>
      </c>
      <c r="B399" s="6" t="s">
        <v>23</v>
      </c>
      <c r="C399" s="6">
        <v>2</v>
      </c>
      <c r="D399" s="6" t="s">
        <v>860</v>
      </c>
      <c r="E399" s="6" t="s">
        <v>72</v>
      </c>
      <c r="F399" s="21">
        <v>10</v>
      </c>
      <c r="G399" s="23">
        <v>144</v>
      </c>
      <c r="H399" s="23">
        <v>48.7</v>
      </c>
      <c r="I399" s="23">
        <v>23.5</v>
      </c>
    </row>
    <row r="400" spans="1:9" ht="17">
      <c r="A400" s="6" t="s">
        <v>861</v>
      </c>
      <c r="B400" s="6" t="s">
        <v>23</v>
      </c>
      <c r="C400" s="6">
        <v>3</v>
      </c>
      <c r="D400" s="6" t="s">
        <v>862</v>
      </c>
      <c r="E400" s="6" t="s">
        <v>69</v>
      </c>
      <c r="F400" s="21">
        <v>10</v>
      </c>
      <c r="G400" s="23">
        <v>146.5</v>
      </c>
      <c r="H400" s="23">
        <v>58.2</v>
      </c>
      <c r="I400" s="23">
        <v>27.1</v>
      </c>
    </row>
    <row r="401" spans="1:9" ht="17">
      <c r="A401" s="6" t="s">
        <v>863</v>
      </c>
      <c r="B401" s="6" t="s">
        <v>23</v>
      </c>
      <c r="C401" s="6">
        <v>4</v>
      </c>
      <c r="D401" s="6" t="s">
        <v>864</v>
      </c>
      <c r="E401" s="6" t="s">
        <v>72</v>
      </c>
      <c r="F401" s="21">
        <v>10</v>
      </c>
      <c r="G401" s="23">
        <v>144</v>
      </c>
      <c r="H401" s="23">
        <v>32.9</v>
      </c>
      <c r="I401" s="23">
        <v>15.9</v>
      </c>
    </row>
    <row r="402" spans="1:9" ht="17">
      <c r="A402" s="6" t="s">
        <v>865</v>
      </c>
      <c r="B402" s="6" t="s">
        <v>23</v>
      </c>
      <c r="C402" s="6">
        <v>5</v>
      </c>
      <c r="D402" s="6" t="s">
        <v>866</v>
      </c>
      <c r="E402" s="6" t="s">
        <v>72</v>
      </c>
      <c r="F402" s="21">
        <v>10</v>
      </c>
      <c r="G402" s="23">
        <v>145</v>
      </c>
      <c r="H402" s="23">
        <v>32.799999999999997</v>
      </c>
      <c r="I402" s="23">
        <v>15.6</v>
      </c>
    </row>
    <row r="403" spans="1:9" ht="17">
      <c r="A403" s="6" t="s">
        <v>867</v>
      </c>
      <c r="B403" s="6" t="s">
        <v>23</v>
      </c>
      <c r="C403" s="6">
        <v>6</v>
      </c>
      <c r="D403" s="6" t="s">
        <v>868</v>
      </c>
      <c r="E403" s="6" t="s">
        <v>72</v>
      </c>
      <c r="F403" s="21">
        <v>10</v>
      </c>
      <c r="G403" s="23">
        <v>141</v>
      </c>
      <c r="H403" s="23">
        <v>37.6</v>
      </c>
      <c r="I403" s="23">
        <v>18.899999999999999</v>
      </c>
    </row>
    <row r="404" spans="1:9" ht="17">
      <c r="A404" s="6" t="s">
        <v>869</v>
      </c>
      <c r="B404" s="6" t="s">
        <v>23</v>
      </c>
      <c r="C404" s="6">
        <v>7</v>
      </c>
      <c r="D404" s="6" t="s">
        <v>870</v>
      </c>
      <c r="E404" s="6" t="s">
        <v>72</v>
      </c>
      <c r="F404" s="21">
        <v>10</v>
      </c>
      <c r="G404" s="23">
        <v>135</v>
      </c>
      <c r="H404" s="23">
        <v>31.1</v>
      </c>
      <c r="I404" s="23">
        <v>17.100000000000001</v>
      </c>
    </row>
    <row r="405" spans="1:9" ht="17">
      <c r="A405" s="6" t="s">
        <v>871</v>
      </c>
      <c r="B405" s="6" t="s">
        <v>23</v>
      </c>
      <c r="C405" s="6">
        <v>8</v>
      </c>
      <c r="D405" s="6" t="s">
        <v>872</v>
      </c>
      <c r="E405" s="6" t="s">
        <v>69</v>
      </c>
      <c r="F405" s="21">
        <v>10</v>
      </c>
      <c r="G405" s="23">
        <v>149</v>
      </c>
      <c r="H405" s="23">
        <v>40.200000000000003</v>
      </c>
      <c r="I405" s="23">
        <v>18.100000000000001</v>
      </c>
    </row>
    <row r="406" spans="1:9" ht="17">
      <c r="A406" s="6" t="s">
        <v>873</v>
      </c>
      <c r="B406" s="6" t="s">
        <v>23</v>
      </c>
      <c r="C406" s="6">
        <v>9</v>
      </c>
      <c r="D406" s="6" t="s">
        <v>874</v>
      </c>
      <c r="E406" s="6" t="s">
        <v>69</v>
      </c>
      <c r="F406" s="21">
        <v>10</v>
      </c>
      <c r="G406" s="23">
        <v>138</v>
      </c>
      <c r="H406" s="23">
        <v>25.1</v>
      </c>
      <c r="I406" s="23">
        <v>13.2</v>
      </c>
    </row>
    <row r="407" spans="1:9" ht="17">
      <c r="A407" s="6" t="s">
        <v>875</v>
      </c>
      <c r="B407" s="6" t="s">
        <v>23</v>
      </c>
      <c r="C407" s="6">
        <v>10</v>
      </c>
      <c r="D407" s="6" t="s">
        <v>876</v>
      </c>
      <c r="E407" s="6" t="s">
        <v>69</v>
      </c>
      <c r="F407" s="21">
        <v>10</v>
      </c>
      <c r="G407" s="23">
        <v>159</v>
      </c>
      <c r="H407" s="23">
        <v>46.2</v>
      </c>
      <c r="I407" s="23">
        <v>18.3</v>
      </c>
    </row>
    <row r="408" spans="1:9" ht="17">
      <c r="A408" s="6" t="s">
        <v>877</v>
      </c>
      <c r="B408" s="6" t="s">
        <v>23</v>
      </c>
      <c r="C408" s="6">
        <v>11</v>
      </c>
      <c r="D408" s="6" t="s">
        <v>878</v>
      </c>
      <c r="E408" s="6" t="s">
        <v>72</v>
      </c>
      <c r="F408" s="21">
        <v>11</v>
      </c>
      <c r="G408" s="23">
        <v>138</v>
      </c>
      <c r="H408" s="23">
        <v>33.200000000000003</v>
      </c>
      <c r="I408" s="23">
        <v>17.399999999999999</v>
      </c>
    </row>
    <row r="409" spans="1:9" ht="17">
      <c r="A409" s="6" t="s">
        <v>879</v>
      </c>
      <c r="B409" s="6" t="s">
        <v>23</v>
      </c>
      <c r="C409" s="6">
        <v>12</v>
      </c>
      <c r="D409" s="6" t="s">
        <v>880</v>
      </c>
      <c r="E409" s="6" t="s">
        <v>72</v>
      </c>
      <c r="F409" s="21">
        <v>10</v>
      </c>
      <c r="G409" s="23">
        <v>150.5</v>
      </c>
      <c r="H409" s="23">
        <v>46.4</v>
      </c>
      <c r="I409" s="23">
        <v>20.5</v>
      </c>
    </row>
    <row r="410" spans="1:9" ht="17">
      <c r="A410" s="6" t="s">
        <v>881</v>
      </c>
      <c r="B410" s="6" t="s">
        <v>23</v>
      </c>
      <c r="C410" s="6">
        <v>13</v>
      </c>
      <c r="D410" s="6" t="s">
        <v>882</v>
      </c>
      <c r="E410" s="6" t="s">
        <v>69</v>
      </c>
      <c r="F410" s="21">
        <v>10</v>
      </c>
      <c r="G410" s="23">
        <v>131</v>
      </c>
      <c r="H410" s="23">
        <v>29.3</v>
      </c>
      <c r="I410" s="23">
        <v>17.100000000000001</v>
      </c>
    </row>
    <row r="411" spans="1:9" ht="17">
      <c r="A411" s="6" t="s">
        <v>883</v>
      </c>
      <c r="B411" s="6" t="s">
        <v>23</v>
      </c>
      <c r="C411" s="6">
        <v>14</v>
      </c>
      <c r="D411" s="6" t="s">
        <v>884</v>
      </c>
      <c r="E411" s="6" t="s">
        <v>69</v>
      </c>
      <c r="F411" s="21">
        <v>10</v>
      </c>
      <c r="G411" s="23">
        <v>143.5</v>
      </c>
      <c r="H411" s="23">
        <v>35.299999999999997</v>
      </c>
      <c r="I411" s="23">
        <v>17.100000000000001</v>
      </c>
    </row>
    <row r="412" spans="1:9" ht="17">
      <c r="A412" s="6" t="s">
        <v>885</v>
      </c>
      <c r="B412" s="6" t="s">
        <v>23</v>
      </c>
      <c r="C412" s="6">
        <v>15</v>
      </c>
      <c r="D412" s="6" t="s">
        <v>886</v>
      </c>
      <c r="E412" s="6" t="s">
        <v>72</v>
      </c>
      <c r="F412" s="21">
        <v>9</v>
      </c>
      <c r="G412" s="23">
        <v>136</v>
      </c>
      <c r="H412" s="23">
        <v>28.6</v>
      </c>
      <c r="I412" s="23">
        <v>15.5</v>
      </c>
    </row>
    <row r="413" spans="1:9" ht="17">
      <c r="A413" s="6" t="s">
        <v>887</v>
      </c>
      <c r="B413" s="6" t="s">
        <v>23</v>
      </c>
      <c r="C413" s="6">
        <v>16</v>
      </c>
      <c r="D413" s="6" t="s">
        <v>888</v>
      </c>
      <c r="E413" s="6" t="s">
        <v>72</v>
      </c>
      <c r="F413" s="21">
        <v>10</v>
      </c>
      <c r="G413" s="23">
        <v>136.5</v>
      </c>
      <c r="H413" s="23">
        <v>35</v>
      </c>
      <c r="I413" s="23">
        <v>18.8</v>
      </c>
    </row>
    <row r="414" spans="1:9" ht="17">
      <c r="A414" s="6" t="s">
        <v>889</v>
      </c>
      <c r="B414" s="6" t="s">
        <v>23</v>
      </c>
      <c r="C414" s="6">
        <v>17</v>
      </c>
      <c r="D414" s="6" t="s">
        <v>890</v>
      </c>
      <c r="E414" s="6" t="s">
        <v>69</v>
      </c>
      <c r="F414" s="21">
        <v>10</v>
      </c>
      <c r="G414" s="23">
        <v>145.5</v>
      </c>
      <c r="H414" s="23">
        <v>46.8</v>
      </c>
      <c r="I414" s="23">
        <v>22.1</v>
      </c>
    </row>
    <row r="415" spans="1:9" ht="17">
      <c r="A415" s="6" t="s">
        <v>891</v>
      </c>
      <c r="B415" s="6" t="s">
        <v>23</v>
      </c>
      <c r="C415" s="6">
        <v>18</v>
      </c>
      <c r="D415" s="6" t="s">
        <v>892</v>
      </c>
      <c r="E415" s="6" t="s">
        <v>69</v>
      </c>
      <c r="F415" s="21">
        <v>10</v>
      </c>
      <c r="G415" s="23">
        <v>139.5</v>
      </c>
      <c r="H415" s="23">
        <v>35.1</v>
      </c>
      <c r="I415" s="23">
        <v>18</v>
      </c>
    </row>
    <row r="416" spans="1:9" ht="17">
      <c r="A416" s="6" t="s">
        <v>893</v>
      </c>
      <c r="B416" s="6" t="s">
        <v>23</v>
      </c>
      <c r="C416" s="6">
        <v>19</v>
      </c>
      <c r="D416" s="6" t="s">
        <v>894</v>
      </c>
      <c r="E416" s="6" t="s">
        <v>69</v>
      </c>
      <c r="F416" s="21">
        <v>9</v>
      </c>
      <c r="G416" s="23">
        <v>142.5</v>
      </c>
      <c r="H416" s="23">
        <v>37.700000000000003</v>
      </c>
      <c r="I416" s="23">
        <v>18.600000000000001</v>
      </c>
    </row>
    <row r="417" spans="1:9" ht="17">
      <c r="A417" s="6" t="s">
        <v>895</v>
      </c>
      <c r="B417" s="6" t="s">
        <v>23</v>
      </c>
      <c r="C417" s="6">
        <v>20</v>
      </c>
      <c r="D417" s="6" t="s">
        <v>896</v>
      </c>
      <c r="E417" s="6" t="s">
        <v>69</v>
      </c>
      <c r="F417" s="21">
        <v>10</v>
      </c>
      <c r="G417" s="23">
        <v>134.5</v>
      </c>
      <c r="H417" s="23">
        <v>28.1</v>
      </c>
      <c r="I417" s="23">
        <v>15.5</v>
      </c>
    </row>
    <row r="418" spans="1:9" ht="17">
      <c r="A418" s="6" t="s">
        <v>897</v>
      </c>
      <c r="B418" s="6" t="s">
        <v>23</v>
      </c>
      <c r="C418" s="6">
        <v>21</v>
      </c>
      <c r="D418" s="6" t="s">
        <v>898</v>
      </c>
      <c r="E418" s="6" t="s">
        <v>72</v>
      </c>
      <c r="F418" s="21">
        <v>10</v>
      </c>
      <c r="G418" s="23">
        <v>139.5</v>
      </c>
      <c r="H418" s="23">
        <v>33</v>
      </c>
      <c r="I418" s="23">
        <v>17</v>
      </c>
    </row>
    <row r="419" spans="1:9" ht="17">
      <c r="A419" s="6" t="s">
        <v>899</v>
      </c>
      <c r="B419" s="6" t="s">
        <v>23</v>
      </c>
      <c r="C419" s="6">
        <v>22</v>
      </c>
      <c r="D419" s="6" t="s">
        <v>900</v>
      </c>
      <c r="E419" s="6" t="s">
        <v>69</v>
      </c>
      <c r="F419" s="21">
        <v>9</v>
      </c>
      <c r="G419" s="23">
        <v>137.5</v>
      </c>
      <c r="H419" s="23">
        <v>32.9</v>
      </c>
      <c r="I419" s="23">
        <v>17.399999999999999</v>
      </c>
    </row>
    <row r="420" spans="1:9" ht="17">
      <c r="A420" s="6" t="s">
        <v>901</v>
      </c>
      <c r="B420" s="6" t="s">
        <v>23</v>
      </c>
      <c r="C420" s="6">
        <v>23</v>
      </c>
      <c r="D420" s="6" t="s">
        <v>902</v>
      </c>
      <c r="E420" s="6" t="s">
        <v>69</v>
      </c>
      <c r="F420" s="21">
        <v>10</v>
      </c>
      <c r="G420" s="23">
        <v>134</v>
      </c>
      <c r="H420" s="23">
        <v>29.1</v>
      </c>
      <c r="I420" s="23">
        <v>16.2</v>
      </c>
    </row>
    <row r="421" spans="1:9" ht="17">
      <c r="A421" s="6" t="s">
        <v>903</v>
      </c>
      <c r="B421" s="6" t="s">
        <v>23</v>
      </c>
      <c r="C421" s="6">
        <v>24</v>
      </c>
      <c r="D421" s="6" t="s">
        <v>904</v>
      </c>
      <c r="E421" s="6" t="s">
        <v>69</v>
      </c>
      <c r="F421" s="21">
        <v>11</v>
      </c>
      <c r="G421" s="23">
        <v>148</v>
      </c>
      <c r="H421" s="23">
        <v>41.7</v>
      </c>
      <c r="I421" s="23">
        <v>19</v>
      </c>
    </row>
    <row r="422" spans="1:9" ht="17">
      <c r="A422" s="6" t="s">
        <v>905</v>
      </c>
      <c r="B422" s="6" t="s">
        <v>23</v>
      </c>
      <c r="C422" s="6">
        <v>25</v>
      </c>
      <c r="D422" s="6" t="s">
        <v>906</v>
      </c>
      <c r="E422" s="6" t="s">
        <v>72</v>
      </c>
      <c r="F422" s="21">
        <v>10</v>
      </c>
      <c r="G422" s="23">
        <v>137</v>
      </c>
      <c r="H422" s="23">
        <v>30.1</v>
      </c>
      <c r="I422" s="23">
        <v>16</v>
      </c>
    </row>
    <row r="423" spans="1:9" ht="17">
      <c r="A423" s="6" t="s">
        <v>907</v>
      </c>
      <c r="B423" s="6" t="s">
        <v>23</v>
      </c>
      <c r="C423" s="6">
        <v>26</v>
      </c>
      <c r="D423" s="6" t="s">
        <v>908</v>
      </c>
      <c r="E423" s="6" t="s">
        <v>72</v>
      </c>
      <c r="F423" s="21">
        <v>10</v>
      </c>
      <c r="G423" s="23">
        <v>138.5</v>
      </c>
      <c r="H423" s="23">
        <v>33.700000000000003</v>
      </c>
      <c r="I423" s="23">
        <v>17.600000000000001</v>
      </c>
    </row>
    <row r="424" spans="1:9" ht="17">
      <c r="A424" s="6" t="s">
        <v>909</v>
      </c>
      <c r="B424" s="6" t="s">
        <v>23</v>
      </c>
      <c r="C424" s="6">
        <v>27</v>
      </c>
      <c r="D424" s="6" t="s">
        <v>910</v>
      </c>
      <c r="E424" s="6" t="s">
        <v>69</v>
      </c>
      <c r="F424" s="21">
        <v>10</v>
      </c>
      <c r="G424" s="23">
        <v>143</v>
      </c>
      <c r="H424" s="23">
        <v>33.4</v>
      </c>
      <c r="I424" s="23">
        <v>16.3</v>
      </c>
    </row>
    <row r="425" spans="1:9" ht="17">
      <c r="A425" s="6" t="s">
        <v>911</v>
      </c>
      <c r="B425" s="6" t="s">
        <v>23</v>
      </c>
      <c r="C425" s="6">
        <v>28</v>
      </c>
      <c r="D425" s="6" t="s">
        <v>912</v>
      </c>
      <c r="E425" s="6" t="s">
        <v>69</v>
      </c>
      <c r="F425" s="21">
        <v>10</v>
      </c>
      <c r="G425" s="23">
        <v>140</v>
      </c>
      <c r="H425" s="23">
        <v>30.5</v>
      </c>
      <c r="I425" s="23">
        <v>15.6</v>
      </c>
    </row>
    <row r="426" spans="1:9" ht="17">
      <c r="A426" s="6" t="s">
        <v>913</v>
      </c>
      <c r="B426" s="6" t="s">
        <v>23</v>
      </c>
      <c r="C426" s="6">
        <v>29</v>
      </c>
      <c r="D426" s="6" t="s">
        <v>914</v>
      </c>
      <c r="E426" s="6" t="s">
        <v>72</v>
      </c>
      <c r="F426" s="21">
        <v>10</v>
      </c>
      <c r="G426" s="23">
        <v>141.5</v>
      </c>
      <c r="H426" s="23">
        <v>28.7</v>
      </c>
      <c r="I426" s="23">
        <v>14.3</v>
      </c>
    </row>
    <row r="427" spans="1:9" ht="17">
      <c r="A427" s="6" t="s">
        <v>915</v>
      </c>
      <c r="B427" s="6" t="s">
        <v>23</v>
      </c>
      <c r="C427" s="6">
        <v>30</v>
      </c>
      <c r="D427" s="6" t="s">
        <v>916</v>
      </c>
      <c r="E427" s="6" t="s">
        <v>72</v>
      </c>
      <c r="F427" s="21">
        <v>10</v>
      </c>
      <c r="G427" s="23">
        <v>133</v>
      </c>
      <c r="H427" s="23">
        <v>25.4</v>
      </c>
      <c r="I427" s="23">
        <v>14.4</v>
      </c>
    </row>
    <row r="428" spans="1:9" ht="17">
      <c r="A428" s="6" t="s">
        <v>917</v>
      </c>
      <c r="B428" s="6" t="s">
        <v>23</v>
      </c>
      <c r="C428" s="6">
        <v>31</v>
      </c>
      <c r="D428" s="6" t="s">
        <v>918</v>
      </c>
      <c r="E428" s="6" t="s">
        <v>69</v>
      </c>
      <c r="F428" s="21">
        <v>10</v>
      </c>
      <c r="G428" s="23">
        <v>134.5</v>
      </c>
      <c r="H428" s="23">
        <v>27.5</v>
      </c>
      <c r="I428" s="23">
        <v>15.2</v>
      </c>
    </row>
    <row r="429" spans="1:9" ht="17">
      <c r="A429" s="6" t="s">
        <v>919</v>
      </c>
      <c r="B429" s="6" t="s">
        <v>23</v>
      </c>
      <c r="C429" s="6">
        <v>32</v>
      </c>
      <c r="D429" s="6" t="s">
        <v>920</v>
      </c>
      <c r="E429" s="6" t="s">
        <v>72</v>
      </c>
      <c r="F429" s="21">
        <v>10</v>
      </c>
      <c r="G429" s="23">
        <v>135.5</v>
      </c>
      <c r="H429" s="23">
        <v>25</v>
      </c>
      <c r="I429" s="23">
        <v>13.6</v>
      </c>
    </row>
    <row r="430" spans="1:9" ht="17">
      <c r="A430" s="6" t="s">
        <v>921</v>
      </c>
      <c r="B430" s="6" t="s">
        <v>23</v>
      </c>
      <c r="C430" s="6">
        <v>33</v>
      </c>
      <c r="D430" s="6" t="s">
        <v>922</v>
      </c>
      <c r="E430" s="6" t="s">
        <v>72</v>
      </c>
      <c r="F430" s="21">
        <v>10</v>
      </c>
      <c r="G430" s="23">
        <v>141.5</v>
      </c>
      <c r="H430" s="23">
        <v>38.9</v>
      </c>
      <c r="I430" s="23">
        <v>19.399999999999999</v>
      </c>
    </row>
    <row r="431" spans="1:9" ht="17">
      <c r="A431" s="6" t="s">
        <v>923</v>
      </c>
      <c r="B431" s="6" t="s">
        <v>23</v>
      </c>
      <c r="C431" s="6">
        <v>34</v>
      </c>
      <c r="D431" s="6" t="s">
        <v>924</v>
      </c>
      <c r="E431" s="6" t="s">
        <v>72</v>
      </c>
      <c r="F431" s="21">
        <v>10</v>
      </c>
      <c r="G431" s="23">
        <v>136</v>
      </c>
      <c r="H431" s="23">
        <v>33.9</v>
      </c>
      <c r="I431" s="23">
        <v>18.3</v>
      </c>
    </row>
    <row r="432" spans="1:9" ht="17">
      <c r="A432" s="6" t="s">
        <v>925</v>
      </c>
      <c r="B432" s="6" t="s">
        <v>23</v>
      </c>
      <c r="C432" s="6">
        <v>35</v>
      </c>
      <c r="D432" s="6" t="s">
        <v>926</v>
      </c>
      <c r="E432" s="6" t="s">
        <v>69</v>
      </c>
      <c r="F432" s="21">
        <v>10</v>
      </c>
      <c r="G432" s="23">
        <v>146</v>
      </c>
      <c r="H432" s="23">
        <v>38.1</v>
      </c>
      <c r="I432" s="23">
        <v>17.899999999999999</v>
      </c>
    </row>
    <row r="433" spans="1:9" ht="17">
      <c r="A433" s="6" t="s">
        <v>927</v>
      </c>
      <c r="B433" s="6" t="s">
        <v>23</v>
      </c>
      <c r="C433" s="6">
        <v>36</v>
      </c>
      <c r="D433" s="6" t="s">
        <v>928</v>
      </c>
      <c r="E433" s="6" t="s">
        <v>72</v>
      </c>
      <c r="F433" s="21">
        <v>9</v>
      </c>
      <c r="G433" s="23">
        <v>127.5</v>
      </c>
      <c r="H433" s="23">
        <v>25.1</v>
      </c>
      <c r="I433" s="23">
        <v>15.4</v>
      </c>
    </row>
    <row r="434" spans="1:9" ht="17">
      <c r="A434" s="6" t="s">
        <v>929</v>
      </c>
      <c r="B434" s="6" t="s">
        <v>23</v>
      </c>
      <c r="C434" s="6">
        <v>37</v>
      </c>
      <c r="D434" s="6" t="s">
        <v>930</v>
      </c>
      <c r="E434" s="6" t="s">
        <v>69</v>
      </c>
      <c r="F434" s="21">
        <v>10</v>
      </c>
      <c r="G434" s="23">
        <v>146</v>
      </c>
      <c r="H434" s="23">
        <v>36.9</v>
      </c>
      <c r="I434" s="23">
        <v>17.3</v>
      </c>
    </row>
    <row r="435" spans="1:9" ht="17">
      <c r="A435" s="6" t="s">
        <v>931</v>
      </c>
      <c r="B435" s="6" t="s">
        <v>24</v>
      </c>
      <c r="C435" s="6">
        <v>1</v>
      </c>
      <c r="D435" s="6" t="s">
        <v>932</v>
      </c>
      <c r="E435" s="6" t="s">
        <v>72</v>
      </c>
      <c r="F435" s="21">
        <v>10</v>
      </c>
      <c r="G435" s="23">
        <v>141</v>
      </c>
      <c r="H435" s="23">
        <v>36.5</v>
      </c>
      <c r="I435" s="23">
        <v>18.399999999999999</v>
      </c>
    </row>
    <row r="436" spans="1:9" ht="17">
      <c r="A436" s="6" t="s">
        <v>933</v>
      </c>
      <c r="B436" s="6" t="s">
        <v>24</v>
      </c>
      <c r="C436" s="6">
        <v>2</v>
      </c>
      <c r="D436" s="6" t="s">
        <v>934</v>
      </c>
      <c r="E436" s="6" t="s">
        <v>69</v>
      </c>
      <c r="F436" s="21">
        <v>9</v>
      </c>
      <c r="G436" s="23">
        <v>130</v>
      </c>
      <c r="H436" s="23">
        <v>24.1</v>
      </c>
      <c r="I436" s="23">
        <v>14.3</v>
      </c>
    </row>
    <row r="437" spans="1:9" ht="17">
      <c r="A437" s="6" t="s">
        <v>935</v>
      </c>
      <c r="B437" s="6" t="s">
        <v>24</v>
      </c>
      <c r="C437" s="6">
        <v>3</v>
      </c>
      <c r="D437" s="6" t="s">
        <v>936</v>
      </c>
      <c r="E437" s="6" t="s">
        <v>69</v>
      </c>
      <c r="F437" s="21">
        <v>10</v>
      </c>
      <c r="G437" s="23">
        <v>139.5</v>
      </c>
      <c r="H437" s="23">
        <v>32.9</v>
      </c>
      <c r="I437" s="23">
        <v>16.899999999999999</v>
      </c>
    </row>
    <row r="438" spans="1:9" ht="17">
      <c r="A438" s="6" t="s">
        <v>937</v>
      </c>
      <c r="B438" s="6" t="s">
        <v>24</v>
      </c>
      <c r="C438" s="6">
        <v>4</v>
      </c>
      <c r="D438" s="6" t="s">
        <v>938</v>
      </c>
      <c r="E438" s="6" t="s">
        <v>69</v>
      </c>
      <c r="F438" s="21">
        <v>9</v>
      </c>
      <c r="G438" s="23">
        <v>140</v>
      </c>
      <c r="H438" s="23">
        <v>47.7</v>
      </c>
      <c r="I438" s="23">
        <v>24.3</v>
      </c>
    </row>
    <row r="439" spans="1:9" ht="17">
      <c r="A439" s="6" t="s">
        <v>939</v>
      </c>
      <c r="B439" s="6" t="s">
        <v>24</v>
      </c>
      <c r="C439" s="6">
        <v>5</v>
      </c>
      <c r="D439" s="6" t="s">
        <v>940</v>
      </c>
      <c r="E439" s="6" t="s">
        <v>69</v>
      </c>
      <c r="F439" s="21">
        <v>11</v>
      </c>
      <c r="G439" s="23">
        <v>137.5</v>
      </c>
      <c r="H439" s="23">
        <v>33.299999999999997</v>
      </c>
      <c r="I439" s="23">
        <v>17.600000000000001</v>
      </c>
    </row>
    <row r="440" spans="1:9" ht="17">
      <c r="A440" s="6" t="s">
        <v>941</v>
      </c>
      <c r="B440" s="6" t="s">
        <v>24</v>
      </c>
      <c r="C440" s="6">
        <v>6</v>
      </c>
      <c r="D440" s="6" t="s">
        <v>942</v>
      </c>
      <c r="E440" s="6" t="s">
        <v>69</v>
      </c>
      <c r="F440" s="21">
        <v>10</v>
      </c>
      <c r="G440" s="23">
        <v>136</v>
      </c>
      <c r="H440" s="23">
        <v>27.9</v>
      </c>
      <c r="I440" s="23">
        <v>15.1</v>
      </c>
    </row>
    <row r="441" spans="1:9" ht="17">
      <c r="A441" s="6" t="s">
        <v>943</v>
      </c>
      <c r="B441" s="6" t="s">
        <v>24</v>
      </c>
      <c r="C441" s="6">
        <v>7</v>
      </c>
      <c r="D441" s="6" t="s">
        <v>944</v>
      </c>
      <c r="E441" s="6" t="s">
        <v>69</v>
      </c>
      <c r="F441" s="21">
        <v>10</v>
      </c>
      <c r="G441" s="23">
        <v>137</v>
      </c>
      <c r="H441" s="23">
        <v>29.5</v>
      </c>
      <c r="I441" s="23">
        <v>15.7</v>
      </c>
    </row>
    <row r="442" spans="1:9" ht="17">
      <c r="A442" s="6" t="s">
        <v>945</v>
      </c>
      <c r="B442" s="6" t="s">
        <v>24</v>
      </c>
      <c r="C442" s="6">
        <v>8</v>
      </c>
      <c r="D442" s="6" t="s">
        <v>946</v>
      </c>
      <c r="E442" s="6" t="s">
        <v>72</v>
      </c>
      <c r="F442" s="21">
        <v>9</v>
      </c>
      <c r="G442" s="23">
        <v>133</v>
      </c>
      <c r="H442" s="23">
        <v>29.6</v>
      </c>
      <c r="I442" s="23">
        <v>16.7</v>
      </c>
    </row>
    <row r="443" spans="1:9" ht="17">
      <c r="A443" s="6" t="s">
        <v>947</v>
      </c>
      <c r="B443" s="6" t="s">
        <v>24</v>
      </c>
      <c r="C443" s="6">
        <v>9</v>
      </c>
      <c r="D443" s="6" t="s">
        <v>948</v>
      </c>
      <c r="E443" s="6" t="s">
        <v>69</v>
      </c>
      <c r="F443" s="21">
        <v>10</v>
      </c>
      <c r="G443" s="23">
        <v>141.5</v>
      </c>
      <c r="H443" s="23">
        <v>34.799999999999997</v>
      </c>
      <c r="I443" s="23">
        <v>17.399999999999999</v>
      </c>
    </row>
    <row r="444" spans="1:9" ht="17">
      <c r="A444" s="6" t="s">
        <v>949</v>
      </c>
      <c r="B444" s="6" t="s">
        <v>24</v>
      </c>
      <c r="C444" s="6">
        <v>10</v>
      </c>
      <c r="D444" s="6" t="s">
        <v>950</v>
      </c>
      <c r="E444" s="6" t="s">
        <v>69</v>
      </c>
      <c r="F444" s="21">
        <v>10</v>
      </c>
      <c r="G444" s="23">
        <v>146</v>
      </c>
      <c r="H444" s="23">
        <v>35</v>
      </c>
      <c r="I444" s="23">
        <v>16.399999999999999</v>
      </c>
    </row>
    <row r="445" spans="1:9" ht="17">
      <c r="A445" s="6" t="s">
        <v>951</v>
      </c>
      <c r="B445" s="6" t="s">
        <v>24</v>
      </c>
      <c r="C445" s="6">
        <v>11</v>
      </c>
      <c r="D445" s="6" t="s">
        <v>952</v>
      </c>
      <c r="E445" s="6" t="s">
        <v>72</v>
      </c>
      <c r="F445" s="21">
        <v>10</v>
      </c>
      <c r="G445" s="23">
        <v>138</v>
      </c>
      <c r="H445" s="23">
        <v>37.200000000000003</v>
      </c>
      <c r="I445" s="23">
        <v>19.5</v>
      </c>
    </row>
    <row r="446" spans="1:9" ht="17">
      <c r="A446" s="6" t="s">
        <v>953</v>
      </c>
      <c r="B446" s="6" t="s">
        <v>24</v>
      </c>
      <c r="C446" s="6">
        <v>12</v>
      </c>
      <c r="D446" s="6" t="s">
        <v>954</v>
      </c>
      <c r="E446" s="6" t="s">
        <v>69</v>
      </c>
      <c r="F446" s="21">
        <v>10</v>
      </c>
      <c r="G446" s="23">
        <v>157</v>
      </c>
      <c r="H446" s="23">
        <v>37.4</v>
      </c>
      <c r="I446" s="23">
        <v>15.2</v>
      </c>
    </row>
    <row r="447" spans="1:9" ht="17">
      <c r="A447" s="6" t="s">
        <v>955</v>
      </c>
      <c r="B447" s="6" t="s">
        <v>24</v>
      </c>
      <c r="C447" s="6">
        <v>13</v>
      </c>
      <c r="D447" s="6" t="s">
        <v>956</v>
      </c>
      <c r="E447" s="6" t="s">
        <v>72</v>
      </c>
      <c r="F447" s="21">
        <v>9</v>
      </c>
      <c r="G447" s="23">
        <v>138.5</v>
      </c>
      <c r="H447" s="23">
        <v>36.299999999999997</v>
      </c>
      <c r="I447" s="23">
        <v>18.899999999999999</v>
      </c>
    </row>
    <row r="448" spans="1:9" ht="17">
      <c r="A448" s="6" t="s">
        <v>957</v>
      </c>
      <c r="B448" s="6" t="s">
        <v>24</v>
      </c>
      <c r="C448" s="6">
        <v>14</v>
      </c>
      <c r="D448" s="6" t="s">
        <v>958</v>
      </c>
      <c r="E448" s="6" t="s">
        <v>72</v>
      </c>
      <c r="F448" s="21">
        <v>10</v>
      </c>
      <c r="G448" s="23">
        <v>141</v>
      </c>
      <c r="H448" s="23">
        <v>32.1</v>
      </c>
      <c r="I448" s="23">
        <v>16.100000000000001</v>
      </c>
    </row>
    <row r="449" spans="1:9" ht="17">
      <c r="A449" s="6" t="s">
        <v>959</v>
      </c>
      <c r="B449" s="6" t="s">
        <v>24</v>
      </c>
      <c r="C449" s="6">
        <v>15</v>
      </c>
      <c r="D449" s="6" t="s">
        <v>960</v>
      </c>
      <c r="E449" s="6" t="s">
        <v>72</v>
      </c>
      <c r="F449" s="21">
        <v>10</v>
      </c>
      <c r="G449" s="23">
        <v>138</v>
      </c>
      <c r="H449" s="23">
        <v>24.8</v>
      </c>
      <c r="I449" s="23">
        <v>13</v>
      </c>
    </row>
    <row r="450" spans="1:9" ht="17">
      <c r="A450" s="6" t="s">
        <v>961</v>
      </c>
      <c r="B450" s="6" t="s">
        <v>24</v>
      </c>
      <c r="C450" s="6">
        <v>16</v>
      </c>
      <c r="D450" s="6" t="s">
        <v>962</v>
      </c>
      <c r="E450" s="6" t="s">
        <v>69</v>
      </c>
      <c r="F450" s="21">
        <v>10</v>
      </c>
      <c r="G450" s="23">
        <v>154</v>
      </c>
      <c r="H450" s="23">
        <v>53.1</v>
      </c>
      <c r="I450" s="23">
        <v>22.4</v>
      </c>
    </row>
    <row r="451" spans="1:9" ht="17">
      <c r="A451" s="6" t="s">
        <v>963</v>
      </c>
      <c r="B451" s="6" t="s">
        <v>24</v>
      </c>
      <c r="C451" s="6">
        <v>17</v>
      </c>
      <c r="D451" s="6" t="s">
        <v>964</v>
      </c>
      <c r="E451" s="6" t="s">
        <v>72</v>
      </c>
      <c r="F451" s="21">
        <v>10</v>
      </c>
      <c r="G451" s="23">
        <v>148</v>
      </c>
      <c r="H451" s="23">
        <v>49.9</v>
      </c>
      <c r="I451" s="23">
        <v>22.8</v>
      </c>
    </row>
    <row r="452" spans="1:9" ht="17">
      <c r="A452" s="6" t="s">
        <v>965</v>
      </c>
      <c r="B452" s="6" t="s">
        <v>24</v>
      </c>
      <c r="C452" s="6">
        <v>18</v>
      </c>
      <c r="D452" s="6" t="s">
        <v>966</v>
      </c>
      <c r="E452" s="6" t="s">
        <v>69</v>
      </c>
      <c r="F452" s="21">
        <v>10</v>
      </c>
      <c r="G452" s="23">
        <v>147</v>
      </c>
      <c r="H452" s="23">
        <v>40</v>
      </c>
      <c r="I452" s="23">
        <v>18.5</v>
      </c>
    </row>
    <row r="453" spans="1:9" ht="17">
      <c r="A453" s="6" t="s">
        <v>967</v>
      </c>
      <c r="B453" s="6" t="s">
        <v>24</v>
      </c>
      <c r="C453" s="6">
        <v>19</v>
      </c>
      <c r="D453" s="6" t="s">
        <v>968</v>
      </c>
      <c r="E453" s="6" t="s">
        <v>69</v>
      </c>
      <c r="F453" s="21">
        <v>10</v>
      </c>
      <c r="G453" s="23">
        <v>140.5</v>
      </c>
      <c r="H453" s="23">
        <v>33.5</v>
      </c>
      <c r="I453" s="23">
        <v>17</v>
      </c>
    </row>
    <row r="454" spans="1:9" ht="17">
      <c r="A454" s="6" t="s">
        <v>969</v>
      </c>
      <c r="B454" s="6" t="s">
        <v>24</v>
      </c>
      <c r="C454" s="6">
        <v>20</v>
      </c>
      <c r="D454" s="6" t="s">
        <v>970</v>
      </c>
      <c r="E454" s="6" t="s">
        <v>72</v>
      </c>
      <c r="F454" s="21">
        <v>10</v>
      </c>
      <c r="G454" s="23">
        <v>153.5</v>
      </c>
      <c r="H454" s="23">
        <v>41</v>
      </c>
      <c r="I454" s="23">
        <v>17.399999999999999</v>
      </c>
    </row>
    <row r="455" spans="1:9" ht="17">
      <c r="A455" s="6" t="s">
        <v>971</v>
      </c>
      <c r="B455" s="6" t="s">
        <v>24</v>
      </c>
      <c r="C455" s="6">
        <v>21</v>
      </c>
      <c r="D455" s="6" t="s">
        <v>972</v>
      </c>
      <c r="E455" s="6" t="s">
        <v>69</v>
      </c>
      <c r="F455" s="21">
        <v>10</v>
      </c>
      <c r="G455" s="23">
        <v>135.5</v>
      </c>
      <c r="H455" s="23">
        <v>23.6</v>
      </c>
      <c r="I455" s="23">
        <v>12.9</v>
      </c>
    </row>
    <row r="456" spans="1:9" ht="17">
      <c r="A456" s="6" t="s">
        <v>973</v>
      </c>
      <c r="B456" s="6" t="s">
        <v>24</v>
      </c>
      <c r="C456" s="6">
        <v>22</v>
      </c>
      <c r="D456" s="6" t="s">
        <v>974</v>
      </c>
      <c r="E456" s="6" t="s">
        <v>69</v>
      </c>
      <c r="F456" s="21">
        <v>10</v>
      </c>
      <c r="G456" s="23">
        <v>151</v>
      </c>
      <c r="H456" s="23">
        <v>32.5</v>
      </c>
      <c r="I456" s="23">
        <v>14.3</v>
      </c>
    </row>
    <row r="457" spans="1:9" ht="17">
      <c r="A457" s="6" t="s">
        <v>975</v>
      </c>
      <c r="B457" s="6" t="s">
        <v>24</v>
      </c>
      <c r="C457" s="6">
        <v>23</v>
      </c>
      <c r="D457" s="6" t="s">
        <v>976</v>
      </c>
      <c r="E457" s="6" t="s">
        <v>69</v>
      </c>
      <c r="F457" s="21">
        <v>9</v>
      </c>
      <c r="G457" s="23">
        <v>128.5</v>
      </c>
      <c r="H457" s="23">
        <v>21.5</v>
      </c>
      <c r="I457" s="23">
        <v>13</v>
      </c>
    </row>
    <row r="458" spans="1:9" ht="17">
      <c r="A458" s="6" t="s">
        <v>977</v>
      </c>
      <c r="B458" s="6" t="s">
        <v>24</v>
      </c>
      <c r="C458" s="6">
        <v>24</v>
      </c>
      <c r="D458" s="6" t="s">
        <v>978</v>
      </c>
      <c r="E458" s="6" t="s">
        <v>72</v>
      </c>
      <c r="F458" s="21">
        <v>10</v>
      </c>
      <c r="G458" s="23">
        <v>142</v>
      </c>
      <c r="H458" s="23">
        <v>46</v>
      </c>
      <c r="I458" s="23">
        <v>22.8</v>
      </c>
    </row>
    <row r="459" spans="1:9" ht="17">
      <c r="A459" s="6" t="s">
        <v>979</v>
      </c>
      <c r="B459" s="6" t="s">
        <v>24</v>
      </c>
      <c r="C459" s="6">
        <v>25</v>
      </c>
      <c r="D459" s="6" t="s">
        <v>980</v>
      </c>
      <c r="E459" s="6" t="s">
        <v>69</v>
      </c>
      <c r="F459" s="21">
        <v>9</v>
      </c>
      <c r="G459" s="23">
        <v>144</v>
      </c>
      <c r="H459" s="23">
        <v>28.2</v>
      </c>
      <c r="I459" s="23">
        <v>13.6</v>
      </c>
    </row>
    <row r="460" spans="1:9" ht="17">
      <c r="A460" s="6" t="s">
        <v>981</v>
      </c>
      <c r="B460" s="6" t="s">
        <v>24</v>
      </c>
      <c r="C460" s="6">
        <v>26</v>
      </c>
      <c r="D460" s="6" t="s">
        <v>982</v>
      </c>
      <c r="E460" s="6" t="s">
        <v>72</v>
      </c>
      <c r="F460" s="21">
        <v>10</v>
      </c>
      <c r="G460" s="23">
        <v>142.5</v>
      </c>
      <c r="H460" s="23">
        <v>29.6</v>
      </c>
      <c r="I460" s="23">
        <v>14.6</v>
      </c>
    </row>
    <row r="461" spans="1:9" ht="17">
      <c r="A461" s="6" t="s">
        <v>983</v>
      </c>
      <c r="B461" s="6" t="s">
        <v>24</v>
      </c>
      <c r="C461" s="6">
        <v>27</v>
      </c>
      <c r="D461" s="6" t="s">
        <v>984</v>
      </c>
      <c r="E461" s="6" t="s">
        <v>69</v>
      </c>
      <c r="F461" s="21">
        <v>10</v>
      </c>
      <c r="G461" s="23">
        <v>148.5</v>
      </c>
      <c r="H461" s="23">
        <v>47.4</v>
      </c>
      <c r="I461" s="23">
        <v>21.5</v>
      </c>
    </row>
    <row r="462" spans="1:9" ht="17">
      <c r="A462" s="6" t="s">
        <v>985</v>
      </c>
      <c r="B462" s="6" t="s">
        <v>24</v>
      </c>
      <c r="C462" s="6">
        <v>28</v>
      </c>
      <c r="D462" s="6" t="s">
        <v>986</v>
      </c>
      <c r="E462" s="6" t="s">
        <v>69</v>
      </c>
      <c r="F462" s="21">
        <v>10</v>
      </c>
      <c r="G462" s="23">
        <v>132.5</v>
      </c>
      <c r="H462" s="23">
        <v>26.2</v>
      </c>
      <c r="I462" s="23">
        <v>14.9</v>
      </c>
    </row>
    <row r="463" spans="1:9" ht="17">
      <c r="A463" s="6" t="s">
        <v>987</v>
      </c>
      <c r="B463" s="6" t="s">
        <v>24</v>
      </c>
      <c r="C463" s="6">
        <v>29</v>
      </c>
      <c r="D463" s="6" t="s">
        <v>988</v>
      </c>
      <c r="E463" s="6" t="s">
        <v>72</v>
      </c>
      <c r="F463" s="21">
        <v>11</v>
      </c>
      <c r="G463" s="23">
        <v>150.5</v>
      </c>
      <c r="H463" s="23">
        <v>51</v>
      </c>
      <c r="I463" s="23">
        <v>22.5</v>
      </c>
    </row>
    <row r="464" spans="1:9" ht="17">
      <c r="A464" s="6" t="s">
        <v>989</v>
      </c>
      <c r="B464" s="6" t="s">
        <v>24</v>
      </c>
      <c r="C464" s="6">
        <v>30</v>
      </c>
      <c r="D464" s="6" t="s">
        <v>990</v>
      </c>
      <c r="E464" s="6" t="s">
        <v>72</v>
      </c>
      <c r="F464" s="21">
        <v>9</v>
      </c>
      <c r="G464" s="23">
        <v>133</v>
      </c>
      <c r="H464" s="23">
        <v>27.4</v>
      </c>
      <c r="I464" s="23">
        <v>15.5</v>
      </c>
    </row>
    <row r="465" spans="1:9" ht="17">
      <c r="A465" s="6" t="s">
        <v>991</v>
      </c>
      <c r="B465" s="6" t="s">
        <v>24</v>
      </c>
      <c r="C465" s="6">
        <v>31</v>
      </c>
      <c r="D465" s="6" t="s">
        <v>992</v>
      </c>
      <c r="E465" s="6" t="s">
        <v>69</v>
      </c>
      <c r="F465" s="21">
        <v>11</v>
      </c>
      <c r="G465" s="23">
        <v>148</v>
      </c>
      <c r="H465" s="23">
        <v>36.299999999999997</v>
      </c>
      <c r="I465" s="23">
        <v>16.600000000000001</v>
      </c>
    </row>
    <row r="466" spans="1:9" ht="17">
      <c r="A466" s="6" t="s">
        <v>993</v>
      </c>
      <c r="B466" s="6" t="s">
        <v>24</v>
      </c>
      <c r="C466" s="6">
        <v>32</v>
      </c>
      <c r="D466" s="6" t="s">
        <v>994</v>
      </c>
      <c r="E466" s="6" t="s">
        <v>69</v>
      </c>
      <c r="F466" s="21">
        <v>10</v>
      </c>
      <c r="G466" s="23">
        <v>146.5</v>
      </c>
      <c r="H466" s="23">
        <v>28.4</v>
      </c>
      <c r="I466" s="23">
        <v>13.2</v>
      </c>
    </row>
    <row r="467" spans="1:9" ht="17">
      <c r="A467" s="6" t="s">
        <v>995</v>
      </c>
      <c r="B467" s="6" t="s">
        <v>24</v>
      </c>
      <c r="C467" s="6">
        <v>33</v>
      </c>
      <c r="D467" s="6" t="s">
        <v>996</v>
      </c>
      <c r="E467" s="6" t="s">
        <v>69</v>
      </c>
      <c r="F467" s="21">
        <v>10</v>
      </c>
      <c r="G467" s="23">
        <v>132</v>
      </c>
      <c r="H467" s="23">
        <v>29.8</v>
      </c>
      <c r="I467" s="23">
        <v>17.100000000000001</v>
      </c>
    </row>
    <row r="468" spans="1:9" ht="17">
      <c r="A468" s="6" t="s">
        <v>997</v>
      </c>
      <c r="B468" s="6" t="s">
        <v>24</v>
      </c>
      <c r="C468" s="6">
        <v>34</v>
      </c>
      <c r="D468" s="6" t="s">
        <v>998</v>
      </c>
      <c r="E468" s="6" t="s">
        <v>69</v>
      </c>
      <c r="F468" s="21">
        <v>10</v>
      </c>
      <c r="G468" s="23">
        <v>143</v>
      </c>
      <c r="H468" s="23">
        <v>32.799999999999997</v>
      </c>
      <c r="I468" s="23">
        <v>16</v>
      </c>
    </row>
    <row r="469" spans="1:9" ht="17">
      <c r="A469" s="6" t="s">
        <v>999</v>
      </c>
      <c r="B469" s="6" t="s">
        <v>24</v>
      </c>
      <c r="C469" s="6">
        <v>35</v>
      </c>
      <c r="D469" s="6" t="s">
        <v>1000</v>
      </c>
      <c r="E469" s="6" t="s">
        <v>69</v>
      </c>
      <c r="F469" s="21">
        <v>10</v>
      </c>
      <c r="G469" s="23">
        <v>138.5</v>
      </c>
      <c r="H469" s="23">
        <v>31.4</v>
      </c>
      <c r="I469" s="23">
        <v>16.399999999999999</v>
      </c>
    </row>
    <row r="470" spans="1:9" ht="17">
      <c r="A470" s="6" t="s">
        <v>1001</v>
      </c>
      <c r="B470" s="6" t="s">
        <v>24</v>
      </c>
      <c r="C470" s="6">
        <v>36</v>
      </c>
      <c r="D470" s="6" t="s">
        <v>1002</v>
      </c>
      <c r="E470" s="6" t="s">
        <v>69</v>
      </c>
      <c r="F470" s="21">
        <v>10</v>
      </c>
      <c r="G470" s="23">
        <v>151</v>
      </c>
      <c r="H470" s="23">
        <v>47.7</v>
      </c>
      <c r="I470" s="23">
        <v>20.9</v>
      </c>
    </row>
    <row r="471" spans="1:9" ht="17">
      <c r="A471" s="6" t="s">
        <v>1003</v>
      </c>
      <c r="B471" s="6" t="s">
        <v>25</v>
      </c>
      <c r="C471" s="6">
        <v>1</v>
      </c>
      <c r="D471" s="6" t="s">
        <v>1004</v>
      </c>
      <c r="E471" s="6" t="s">
        <v>72</v>
      </c>
      <c r="F471" s="21">
        <v>9</v>
      </c>
      <c r="G471" s="23">
        <v>138</v>
      </c>
      <c r="H471" s="23">
        <v>26.7</v>
      </c>
      <c r="I471" s="23">
        <v>14</v>
      </c>
    </row>
    <row r="472" spans="1:9" ht="17">
      <c r="A472" s="6" t="s">
        <v>1005</v>
      </c>
      <c r="B472" s="6" t="s">
        <v>25</v>
      </c>
      <c r="C472" s="6">
        <v>2</v>
      </c>
      <c r="D472" s="6" t="s">
        <v>1006</v>
      </c>
      <c r="E472" s="6" t="s">
        <v>69</v>
      </c>
      <c r="F472" s="21">
        <v>10</v>
      </c>
      <c r="G472" s="23">
        <v>144</v>
      </c>
      <c r="H472" s="23">
        <v>32.200000000000003</v>
      </c>
      <c r="I472" s="23">
        <v>15.5</v>
      </c>
    </row>
    <row r="473" spans="1:9" ht="17">
      <c r="A473" s="6" t="s">
        <v>1007</v>
      </c>
      <c r="B473" s="6" t="s">
        <v>25</v>
      </c>
      <c r="C473" s="6">
        <v>3</v>
      </c>
      <c r="D473" s="6" t="s">
        <v>1008</v>
      </c>
      <c r="E473" s="6" t="s">
        <v>72</v>
      </c>
      <c r="F473" s="21">
        <v>10</v>
      </c>
      <c r="G473" s="23">
        <v>143</v>
      </c>
      <c r="H473" s="23">
        <v>32.9</v>
      </c>
      <c r="I473" s="23">
        <v>16.100000000000001</v>
      </c>
    </row>
    <row r="474" spans="1:9" ht="17">
      <c r="A474" s="6" t="s">
        <v>1009</v>
      </c>
      <c r="B474" s="6" t="s">
        <v>25</v>
      </c>
      <c r="C474" s="6">
        <v>4</v>
      </c>
      <c r="D474" s="6" t="s">
        <v>1010</v>
      </c>
      <c r="E474" s="6" t="s">
        <v>72</v>
      </c>
      <c r="F474" s="21">
        <v>10</v>
      </c>
      <c r="G474" s="23">
        <v>131.5</v>
      </c>
      <c r="H474" s="23">
        <v>27.8</v>
      </c>
      <c r="I474" s="23">
        <v>16.100000000000001</v>
      </c>
    </row>
    <row r="475" spans="1:9" ht="17">
      <c r="A475" s="6" t="s">
        <v>1011</v>
      </c>
      <c r="B475" s="6" t="s">
        <v>25</v>
      </c>
      <c r="C475" s="6">
        <v>5</v>
      </c>
      <c r="D475" s="6" t="s">
        <v>1012</v>
      </c>
      <c r="E475" s="6" t="s">
        <v>69</v>
      </c>
      <c r="F475" s="21">
        <v>10</v>
      </c>
      <c r="G475" s="23">
        <v>150.5</v>
      </c>
      <c r="H475" s="23">
        <v>51.1</v>
      </c>
      <c r="I475" s="23">
        <v>22.6</v>
      </c>
    </row>
    <row r="476" spans="1:9" ht="17">
      <c r="A476" s="6" t="s">
        <v>1013</v>
      </c>
      <c r="B476" s="6" t="s">
        <v>25</v>
      </c>
      <c r="C476" s="6">
        <v>6</v>
      </c>
      <c r="D476" s="6" t="s">
        <v>1014</v>
      </c>
      <c r="E476" s="6" t="s">
        <v>72</v>
      </c>
      <c r="F476" s="21">
        <v>10</v>
      </c>
      <c r="G476" s="23">
        <v>137</v>
      </c>
      <c r="H476" s="23">
        <v>25.6</v>
      </c>
      <c r="I476" s="23">
        <v>13.6</v>
      </c>
    </row>
    <row r="477" spans="1:9" ht="17">
      <c r="A477" s="6" t="s">
        <v>1015</v>
      </c>
      <c r="B477" s="6" t="s">
        <v>25</v>
      </c>
      <c r="C477" s="6">
        <v>7</v>
      </c>
      <c r="D477" s="6" t="s">
        <v>1016</v>
      </c>
      <c r="E477" s="6" t="s">
        <v>69</v>
      </c>
      <c r="F477" s="21">
        <v>10</v>
      </c>
      <c r="G477" s="23">
        <v>135.5</v>
      </c>
      <c r="H477" s="23">
        <v>33.700000000000003</v>
      </c>
      <c r="I477" s="23">
        <v>18.399999999999999</v>
      </c>
    </row>
    <row r="478" spans="1:9" ht="17">
      <c r="A478" s="6" t="s">
        <v>1017</v>
      </c>
      <c r="B478" s="6" t="s">
        <v>25</v>
      </c>
      <c r="C478" s="6">
        <v>8</v>
      </c>
      <c r="D478" s="6" t="s">
        <v>1018</v>
      </c>
      <c r="E478" s="6" t="s">
        <v>72</v>
      </c>
      <c r="F478" s="21">
        <v>10</v>
      </c>
      <c r="G478" s="23">
        <v>146</v>
      </c>
      <c r="H478" s="23">
        <v>38.200000000000003</v>
      </c>
      <c r="I478" s="23">
        <v>17.899999999999999</v>
      </c>
    </row>
    <row r="479" spans="1:9" ht="17">
      <c r="A479" s="6" t="s">
        <v>1019</v>
      </c>
      <c r="B479" s="6" t="s">
        <v>25</v>
      </c>
      <c r="C479" s="6">
        <v>9</v>
      </c>
      <c r="D479" s="6" t="s">
        <v>1020</v>
      </c>
      <c r="E479" s="6" t="s">
        <v>72</v>
      </c>
      <c r="F479" s="21">
        <v>10</v>
      </c>
      <c r="G479" s="23">
        <v>143.5</v>
      </c>
      <c r="H479" s="23">
        <v>35.6</v>
      </c>
      <c r="I479" s="23">
        <v>17.3</v>
      </c>
    </row>
    <row r="480" spans="1:9" ht="17">
      <c r="A480" s="6" t="s">
        <v>1021</v>
      </c>
      <c r="B480" s="6" t="s">
        <v>25</v>
      </c>
      <c r="C480" s="6">
        <v>10</v>
      </c>
      <c r="D480" s="6" t="s">
        <v>1022</v>
      </c>
      <c r="E480" s="6" t="s">
        <v>69</v>
      </c>
      <c r="F480" s="21">
        <v>10</v>
      </c>
      <c r="G480" s="23">
        <v>155.5</v>
      </c>
      <c r="H480" s="23">
        <v>49.7</v>
      </c>
      <c r="I480" s="23">
        <v>20.6</v>
      </c>
    </row>
    <row r="481" spans="1:9" ht="17">
      <c r="A481" s="6" t="s">
        <v>1023</v>
      </c>
      <c r="B481" s="6" t="s">
        <v>25</v>
      </c>
      <c r="C481" s="6">
        <v>11</v>
      </c>
      <c r="D481" s="6" t="s">
        <v>1024</v>
      </c>
      <c r="E481" s="6" t="s">
        <v>72</v>
      </c>
      <c r="F481" s="21">
        <v>10</v>
      </c>
      <c r="G481" s="23">
        <v>144.5</v>
      </c>
      <c r="H481" s="23">
        <v>50</v>
      </c>
      <c r="I481" s="23">
        <v>23.9</v>
      </c>
    </row>
    <row r="482" spans="1:9" ht="17">
      <c r="A482" s="6" t="s">
        <v>1025</v>
      </c>
      <c r="B482" s="6" t="s">
        <v>25</v>
      </c>
      <c r="C482" s="6">
        <v>12</v>
      </c>
      <c r="D482" s="6" t="s">
        <v>1026</v>
      </c>
      <c r="E482" s="6" t="s">
        <v>69</v>
      </c>
      <c r="F482" s="21">
        <v>10</v>
      </c>
      <c r="G482" s="23">
        <v>143.5</v>
      </c>
      <c r="H482" s="23">
        <v>33.299999999999997</v>
      </c>
      <c r="I482" s="23">
        <v>16.2</v>
      </c>
    </row>
    <row r="483" spans="1:9" ht="17">
      <c r="A483" s="6" t="s">
        <v>1027</v>
      </c>
      <c r="B483" s="6" t="s">
        <v>25</v>
      </c>
      <c r="C483" s="6">
        <v>13</v>
      </c>
      <c r="D483" s="6" t="s">
        <v>1028</v>
      </c>
      <c r="E483" s="6" t="s">
        <v>69</v>
      </c>
      <c r="F483" s="21">
        <v>9</v>
      </c>
      <c r="G483" s="23">
        <v>129</v>
      </c>
      <c r="H483" s="23">
        <v>26.2</v>
      </c>
      <c r="I483" s="23">
        <v>15.7</v>
      </c>
    </row>
    <row r="484" spans="1:9" ht="17">
      <c r="A484" s="6" t="s">
        <v>1029</v>
      </c>
      <c r="B484" s="6" t="s">
        <v>25</v>
      </c>
      <c r="C484" s="6">
        <v>14</v>
      </c>
      <c r="D484" s="6" t="s">
        <v>1030</v>
      </c>
      <c r="E484" s="6" t="s">
        <v>69</v>
      </c>
      <c r="F484" s="21">
        <v>10</v>
      </c>
      <c r="G484" s="23">
        <v>146</v>
      </c>
      <c r="H484" s="23">
        <v>36.700000000000003</v>
      </c>
      <c r="I484" s="23">
        <v>17.2</v>
      </c>
    </row>
    <row r="485" spans="1:9" ht="17">
      <c r="A485" s="6" t="s">
        <v>1031</v>
      </c>
      <c r="B485" s="6" t="s">
        <v>25</v>
      </c>
      <c r="C485" s="6">
        <v>15</v>
      </c>
      <c r="D485" s="6" t="s">
        <v>1032</v>
      </c>
      <c r="E485" s="6" t="s">
        <v>69</v>
      </c>
      <c r="F485" s="21">
        <v>10</v>
      </c>
      <c r="G485" s="23">
        <v>142</v>
      </c>
      <c r="H485" s="23">
        <v>32.200000000000003</v>
      </c>
      <c r="I485" s="23">
        <v>16</v>
      </c>
    </row>
    <row r="486" spans="1:9" ht="17">
      <c r="A486" s="6" t="s">
        <v>1033</v>
      </c>
      <c r="B486" s="6" t="s">
        <v>25</v>
      </c>
      <c r="C486" s="6">
        <v>16</v>
      </c>
      <c r="D486" s="6" t="s">
        <v>1034</v>
      </c>
      <c r="E486" s="6" t="s">
        <v>69</v>
      </c>
      <c r="F486" s="21">
        <v>9</v>
      </c>
      <c r="G486" s="23">
        <v>125.5</v>
      </c>
      <c r="H486" s="23">
        <v>25</v>
      </c>
      <c r="I486" s="23">
        <v>15.9</v>
      </c>
    </row>
    <row r="487" spans="1:9" ht="17">
      <c r="A487" s="6" t="s">
        <v>1035</v>
      </c>
      <c r="B487" s="6" t="s">
        <v>25</v>
      </c>
      <c r="C487" s="6">
        <v>17</v>
      </c>
      <c r="D487" s="6" t="s">
        <v>1036</v>
      </c>
      <c r="E487" s="6" t="s">
        <v>69</v>
      </c>
      <c r="F487" s="21">
        <v>10</v>
      </c>
      <c r="G487" s="23">
        <v>142</v>
      </c>
      <c r="H487" s="23">
        <v>37.5</v>
      </c>
      <c r="I487" s="23">
        <v>18.600000000000001</v>
      </c>
    </row>
    <row r="488" spans="1:9" ht="17">
      <c r="A488" s="6" t="s">
        <v>1037</v>
      </c>
      <c r="B488" s="6" t="s">
        <v>25</v>
      </c>
      <c r="C488" s="6">
        <v>18</v>
      </c>
      <c r="D488" s="6" t="s">
        <v>1038</v>
      </c>
      <c r="E488" s="6" t="s">
        <v>69</v>
      </c>
      <c r="F488" s="21">
        <v>10</v>
      </c>
      <c r="G488" s="23">
        <v>135</v>
      </c>
      <c r="H488" s="23">
        <v>31.9</v>
      </c>
      <c r="I488" s="23">
        <v>17.5</v>
      </c>
    </row>
    <row r="489" spans="1:9" ht="17">
      <c r="A489" s="6" t="s">
        <v>1039</v>
      </c>
      <c r="B489" s="6" t="s">
        <v>25</v>
      </c>
      <c r="C489" s="6">
        <v>19</v>
      </c>
      <c r="D489" s="6" t="s">
        <v>1040</v>
      </c>
      <c r="E489" s="6" t="s">
        <v>69</v>
      </c>
      <c r="F489" s="21">
        <v>10</v>
      </c>
      <c r="G489" s="23">
        <v>147.5</v>
      </c>
      <c r="H489" s="23">
        <v>38.200000000000003</v>
      </c>
      <c r="I489" s="23">
        <v>17.600000000000001</v>
      </c>
    </row>
    <row r="490" spans="1:9" ht="17">
      <c r="A490" s="6" t="s">
        <v>1041</v>
      </c>
      <c r="B490" s="6" t="s">
        <v>25</v>
      </c>
      <c r="C490" s="6">
        <v>20</v>
      </c>
      <c r="D490" s="6" t="s">
        <v>1042</v>
      </c>
      <c r="E490" s="6" t="s">
        <v>69</v>
      </c>
      <c r="F490" s="21">
        <v>10</v>
      </c>
      <c r="G490" s="23">
        <v>145.5</v>
      </c>
      <c r="H490" s="23">
        <v>33.299999999999997</v>
      </c>
      <c r="I490" s="23">
        <v>15.7</v>
      </c>
    </row>
    <row r="491" spans="1:9" ht="17">
      <c r="A491" s="6" t="s">
        <v>1043</v>
      </c>
      <c r="B491" s="6" t="s">
        <v>25</v>
      </c>
      <c r="C491" s="6">
        <v>21</v>
      </c>
      <c r="D491" s="6" t="s">
        <v>1044</v>
      </c>
      <c r="E491" s="6" t="s">
        <v>69</v>
      </c>
      <c r="F491" s="21">
        <v>10</v>
      </c>
      <c r="G491" s="23">
        <v>143.5</v>
      </c>
      <c r="H491" s="23">
        <v>37</v>
      </c>
      <c r="I491" s="23">
        <v>18</v>
      </c>
    </row>
    <row r="492" spans="1:9" ht="17">
      <c r="A492" s="6" t="s">
        <v>1045</v>
      </c>
      <c r="B492" s="6" t="s">
        <v>25</v>
      </c>
      <c r="C492" s="6">
        <v>22</v>
      </c>
      <c r="D492" s="6" t="s">
        <v>1046</v>
      </c>
      <c r="E492" s="6" t="s">
        <v>72</v>
      </c>
      <c r="F492" s="21">
        <v>9</v>
      </c>
      <c r="G492" s="23">
        <v>147.5</v>
      </c>
      <c r="H492" s="23">
        <v>49.9</v>
      </c>
      <c r="I492" s="23">
        <v>22.9</v>
      </c>
    </row>
    <row r="493" spans="1:9" ht="17">
      <c r="A493" s="6" t="s">
        <v>1047</v>
      </c>
      <c r="B493" s="6" t="s">
        <v>25</v>
      </c>
      <c r="C493" s="6">
        <v>23</v>
      </c>
      <c r="D493" s="6" t="s">
        <v>1048</v>
      </c>
      <c r="E493" s="6" t="s">
        <v>69</v>
      </c>
      <c r="F493" s="21">
        <v>9</v>
      </c>
      <c r="G493" s="23">
        <v>141.5</v>
      </c>
      <c r="H493" s="23">
        <v>28.8</v>
      </c>
      <c r="I493" s="23">
        <v>14.4</v>
      </c>
    </row>
    <row r="494" spans="1:9" ht="17">
      <c r="A494" s="6" t="s">
        <v>1049</v>
      </c>
      <c r="B494" s="6" t="s">
        <v>25</v>
      </c>
      <c r="C494" s="6">
        <v>24</v>
      </c>
      <c r="D494" s="6" t="s">
        <v>1050</v>
      </c>
      <c r="E494" s="6" t="s">
        <v>69</v>
      </c>
      <c r="F494" s="21">
        <v>10</v>
      </c>
      <c r="G494" s="23">
        <v>153</v>
      </c>
      <c r="H494" s="23">
        <v>48.6</v>
      </c>
      <c r="I494" s="23">
        <v>20.8</v>
      </c>
    </row>
    <row r="495" spans="1:9" ht="17">
      <c r="A495" s="6" t="s">
        <v>1051</v>
      </c>
      <c r="B495" s="6" t="s">
        <v>25</v>
      </c>
      <c r="C495" s="6">
        <v>25</v>
      </c>
      <c r="D495" s="6" t="s">
        <v>1052</v>
      </c>
      <c r="E495" s="6" t="s">
        <v>69</v>
      </c>
      <c r="F495" s="21">
        <v>10</v>
      </c>
      <c r="G495" s="23">
        <v>147</v>
      </c>
      <c r="H495" s="23">
        <v>34.700000000000003</v>
      </c>
      <c r="I495" s="23">
        <v>16.100000000000001</v>
      </c>
    </row>
    <row r="496" spans="1:9" ht="17">
      <c r="A496" s="6" t="s">
        <v>1053</v>
      </c>
      <c r="B496" s="6" t="s">
        <v>25</v>
      </c>
      <c r="C496" s="6">
        <v>26</v>
      </c>
      <c r="D496" s="6" t="s">
        <v>1054</v>
      </c>
      <c r="E496" s="6" t="s">
        <v>72</v>
      </c>
      <c r="F496" s="21">
        <v>10</v>
      </c>
      <c r="G496" s="23">
        <v>138.5</v>
      </c>
      <c r="H496" s="23">
        <v>27.8</v>
      </c>
      <c r="I496" s="23">
        <v>14.5</v>
      </c>
    </row>
    <row r="497" spans="1:9" ht="17">
      <c r="A497" s="6" t="s">
        <v>1055</v>
      </c>
      <c r="B497" s="6" t="s">
        <v>25</v>
      </c>
      <c r="C497" s="6">
        <v>27</v>
      </c>
      <c r="D497" s="6" t="s">
        <v>1056</v>
      </c>
      <c r="E497" s="6" t="s">
        <v>72</v>
      </c>
      <c r="F497" s="21">
        <v>10</v>
      </c>
      <c r="G497" s="23">
        <v>136.5</v>
      </c>
      <c r="H497" s="23">
        <v>26.4</v>
      </c>
      <c r="I497" s="23">
        <v>14.2</v>
      </c>
    </row>
    <row r="498" spans="1:9" ht="17">
      <c r="A498" s="6" t="s">
        <v>1057</v>
      </c>
      <c r="B498" s="6" t="s">
        <v>25</v>
      </c>
      <c r="C498" s="6">
        <v>28</v>
      </c>
      <c r="D498" s="6" t="s">
        <v>1058</v>
      </c>
      <c r="E498" s="6" t="s">
        <v>69</v>
      </c>
      <c r="F498" s="21">
        <v>10</v>
      </c>
      <c r="G498" s="23">
        <v>138.5</v>
      </c>
      <c r="H498" s="23">
        <v>32.799999999999997</v>
      </c>
      <c r="I498" s="23">
        <v>17.100000000000001</v>
      </c>
    </row>
    <row r="499" spans="1:9" ht="17">
      <c r="A499" s="6" t="s">
        <v>1059</v>
      </c>
      <c r="B499" s="6" t="s">
        <v>25</v>
      </c>
      <c r="C499" s="6">
        <v>29</v>
      </c>
      <c r="D499" s="6" t="s">
        <v>1060</v>
      </c>
      <c r="E499" s="6" t="s">
        <v>72</v>
      </c>
      <c r="F499" s="21">
        <v>10</v>
      </c>
      <c r="G499" s="23">
        <v>132.5</v>
      </c>
      <c r="H499" s="23">
        <v>24.7</v>
      </c>
      <c r="I499" s="23">
        <v>14.1</v>
      </c>
    </row>
    <row r="500" spans="1:9" ht="17">
      <c r="A500" s="6" t="s">
        <v>1061</v>
      </c>
      <c r="B500" s="6" t="s">
        <v>25</v>
      </c>
      <c r="C500" s="6">
        <v>30</v>
      </c>
      <c r="D500" s="6" t="s">
        <v>1062</v>
      </c>
      <c r="E500" s="6" t="s">
        <v>69</v>
      </c>
      <c r="F500" s="21">
        <v>9</v>
      </c>
      <c r="G500" s="23">
        <v>149.5</v>
      </c>
      <c r="H500" s="23">
        <v>35.200000000000003</v>
      </c>
      <c r="I500" s="23">
        <v>15.7</v>
      </c>
    </row>
    <row r="501" spans="1:9" ht="17">
      <c r="A501" s="6" t="s">
        <v>1063</v>
      </c>
      <c r="B501" s="6" t="s">
        <v>25</v>
      </c>
      <c r="C501" s="6">
        <v>31</v>
      </c>
      <c r="D501" s="6" t="s">
        <v>1064</v>
      </c>
      <c r="E501" s="6" t="s">
        <v>72</v>
      </c>
      <c r="F501" s="21">
        <v>10</v>
      </c>
      <c r="G501" s="23">
        <v>135.5</v>
      </c>
      <c r="H501" s="23">
        <v>25</v>
      </c>
      <c r="I501" s="23">
        <v>13.6</v>
      </c>
    </row>
    <row r="502" spans="1:9" ht="17">
      <c r="A502" s="6" t="s">
        <v>1065</v>
      </c>
      <c r="B502" s="6" t="s">
        <v>25</v>
      </c>
      <c r="C502" s="6">
        <v>32</v>
      </c>
      <c r="D502" s="6" t="s">
        <v>1066</v>
      </c>
      <c r="E502" s="6" t="s">
        <v>72</v>
      </c>
      <c r="F502" s="21">
        <v>9</v>
      </c>
      <c r="G502" s="23">
        <v>125.5</v>
      </c>
      <c r="H502" s="23">
        <v>21.6</v>
      </c>
      <c r="I502" s="23">
        <v>13.7</v>
      </c>
    </row>
    <row r="503" spans="1:9" ht="17">
      <c r="A503" s="6" t="s">
        <v>1067</v>
      </c>
      <c r="B503" s="6" t="s">
        <v>25</v>
      </c>
      <c r="C503" s="6">
        <v>33</v>
      </c>
      <c r="D503" s="6" t="s">
        <v>1068</v>
      </c>
      <c r="E503" s="6" t="s">
        <v>69</v>
      </c>
      <c r="F503" s="21">
        <v>10</v>
      </c>
      <c r="G503" s="23">
        <v>146</v>
      </c>
      <c r="H503" s="23">
        <v>37</v>
      </c>
      <c r="I503" s="23">
        <v>17.399999999999999</v>
      </c>
    </row>
    <row r="504" spans="1:9" ht="17">
      <c r="A504" s="6" t="s">
        <v>1069</v>
      </c>
      <c r="B504" s="6" t="s">
        <v>25</v>
      </c>
      <c r="C504" s="6">
        <v>34</v>
      </c>
      <c r="D504" s="6" t="s">
        <v>1070</v>
      </c>
      <c r="E504" s="6" t="s">
        <v>69</v>
      </c>
      <c r="F504" s="21">
        <v>9</v>
      </c>
      <c r="G504" s="23">
        <v>137.5</v>
      </c>
      <c r="H504" s="23">
        <v>30.9</v>
      </c>
      <c r="I504" s="23">
        <v>16.3</v>
      </c>
    </row>
    <row r="505" spans="1:9" ht="17">
      <c r="A505" s="6" t="s">
        <v>1071</v>
      </c>
      <c r="B505" s="6" t="s">
        <v>25</v>
      </c>
      <c r="C505" s="6">
        <v>35</v>
      </c>
      <c r="D505" s="6" t="s">
        <v>1072</v>
      </c>
      <c r="E505" s="6" t="s">
        <v>72</v>
      </c>
      <c r="F505" s="21">
        <v>10</v>
      </c>
      <c r="G505" s="23">
        <v>135</v>
      </c>
      <c r="H505" s="23">
        <v>38.200000000000003</v>
      </c>
      <c r="I505" s="23">
        <v>21</v>
      </c>
    </row>
    <row r="506" spans="1:9" ht="17">
      <c r="A506" s="6" t="s">
        <v>1073</v>
      </c>
      <c r="B506" s="6" t="s">
        <v>25</v>
      </c>
      <c r="C506" s="6">
        <v>36</v>
      </c>
      <c r="D506" s="6" t="s">
        <v>1074</v>
      </c>
      <c r="E506" s="6" t="s">
        <v>69</v>
      </c>
      <c r="F506" s="21">
        <v>10</v>
      </c>
      <c r="G506" s="23">
        <v>150.5</v>
      </c>
      <c r="H506" s="23">
        <v>33.4</v>
      </c>
      <c r="I506" s="23">
        <v>14.7</v>
      </c>
    </row>
    <row r="507" spans="1:9" ht="17">
      <c r="A507" s="6" t="s">
        <v>1075</v>
      </c>
      <c r="B507" s="6" t="s">
        <v>26</v>
      </c>
      <c r="C507" s="6">
        <v>1</v>
      </c>
      <c r="D507" s="6" t="s">
        <v>1076</v>
      </c>
      <c r="E507" s="6" t="s">
        <v>72</v>
      </c>
      <c r="F507" s="21">
        <v>12</v>
      </c>
      <c r="G507" s="23">
        <v>133</v>
      </c>
      <c r="H507" s="23">
        <v>24.1</v>
      </c>
      <c r="I507" s="23">
        <v>13.6</v>
      </c>
    </row>
    <row r="508" spans="1:9" ht="17">
      <c r="A508" s="6" t="s">
        <v>1077</v>
      </c>
      <c r="B508" s="6" t="s">
        <v>26</v>
      </c>
      <c r="C508" s="6">
        <v>2</v>
      </c>
      <c r="D508" s="6" t="s">
        <v>1078</v>
      </c>
      <c r="E508" s="6" t="s">
        <v>72</v>
      </c>
      <c r="F508" s="21">
        <v>11</v>
      </c>
      <c r="G508" s="23">
        <v>145.5</v>
      </c>
      <c r="H508" s="23">
        <v>31.8</v>
      </c>
      <c r="I508" s="23">
        <v>15</v>
      </c>
    </row>
    <row r="509" spans="1:9" ht="17">
      <c r="A509" s="6" t="s">
        <v>1079</v>
      </c>
      <c r="B509" s="6" t="s">
        <v>26</v>
      </c>
      <c r="C509" s="6">
        <v>3</v>
      </c>
      <c r="D509" s="6" t="s">
        <v>1080</v>
      </c>
      <c r="E509" s="6" t="s">
        <v>72</v>
      </c>
      <c r="F509" s="21">
        <v>10</v>
      </c>
      <c r="G509" s="23">
        <v>135</v>
      </c>
      <c r="H509" s="23">
        <v>29.1</v>
      </c>
      <c r="I509" s="23">
        <v>16</v>
      </c>
    </row>
    <row r="510" spans="1:9" ht="17">
      <c r="A510" s="6" t="s">
        <v>1081</v>
      </c>
      <c r="B510" s="6" t="s">
        <v>26</v>
      </c>
      <c r="C510" s="6">
        <v>4</v>
      </c>
      <c r="D510" s="6" t="s">
        <v>1082</v>
      </c>
      <c r="E510" s="6" t="s">
        <v>72</v>
      </c>
      <c r="F510" s="21">
        <v>11</v>
      </c>
      <c r="G510" s="23">
        <v>138.5</v>
      </c>
      <c r="H510" s="23">
        <v>28.7</v>
      </c>
      <c r="I510" s="23">
        <v>15</v>
      </c>
    </row>
    <row r="511" spans="1:9" ht="17">
      <c r="A511" s="6" t="s">
        <v>1083</v>
      </c>
      <c r="B511" s="6" t="s">
        <v>26</v>
      </c>
      <c r="C511" s="6">
        <v>5</v>
      </c>
      <c r="D511" s="6" t="s">
        <v>1084</v>
      </c>
      <c r="E511" s="6" t="s">
        <v>69</v>
      </c>
      <c r="F511" s="21">
        <v>11</v>
      </c>
      <c r="G511" s="23">
        <v>145</v>
      </c>
      <c r="H511" s="23">
        <v>34.4</v>
      </c>
      <c r="I511" s="23">
        <v>16.399999999999999</v>
      </c>
    </row>
    <row r="512" spans="1:9" ht="17">
      <c r="A512" s="6" t="s">
        <v>1085</v>
      </c>
      <c r="B512" s="6" t="s">
        <v>26</v>
      </c>
      <c r="C512" s="6">
        <v>6</v>
      </c>
      <c r="D512" s="6" t="s">
        <v>1086</v>
      </c>
      <c r="E512" s="6" t="s">
        <v>69</v>
      </c>
      <c r="F512" s="21">
        <v>10</v>
      </c>
      <c r="G512" s="23">
        <v>134.5</v>
      </c>
      <c r="H512" s="23">
        <v>26.2</v>
      </c>
      <c r="I512" s="23">
        <v>14.5</v>
      </c>
    </row>
    <row r="513" spans="1:9" ht="17">
      <c r="A513" s="6" t="s">
        <v>1087</v>
      </c>
      <c r="B513" s="6" t="s">
        <v>26</v>
      </c>
      <c r="C513" s="6">
        <v>7</v>
      </c>
      <c r="D513" s="6" t="s">
        <v>1088</v>
      </c>
      <c r="E513" s="6" t="s">
        <v>69</v>
      </c>
      <c r="F513" s="21">
        <v>11</v>
      </c>
      <c r="G513" s="23">
        <v>146.5</v>
      </c>
      <c r="H513" s="23">
        <v>28.5</v>
      </c>
      <c r="I513" s="23">
        <v>13.3</v>
      </c>
    </row>
    <row r="514" spans="1:9" ht="17">
      <c r="A514" s="6" t="s">
        <v>1089</v>
      </c>
      <c r="B514" s="6" t="s">
        <v>26</v>
      </c>
      <c r="C514" s="6">
        <v>8</v>
      </c>
      <c r="D514" s="6" t="s">
        <v>1090</v>
      </c>
      <c r="E514" s="6" t="s">
        <v>72</v>
      </c>
      <c r="F514" s="21">
        <v>11</v>
      </c>
      <c r="G514" s="23">
        <v>149</v>
      </c>
      <c r="H514" s="23">
        <v>32.9</v>
      </c>
      <c r="I514" s="23">
        <v>14.8</v>
      </c>
    </row>
    <row r="515" spans="1:9" ht="17">
      <c r="A515" s="6" t="s">
        <v>1091</v>
      </c>
      <c r="B515" s="6" t="s">
        <v>26</v>
      </c>
      <c r="C515" s="6">
        <v>9</v>
      </c>
      <c r="D515" s="6" t="s">
        <v>1092</v>
      </c>
      <c r="E515" s="6" t="s">
        <v>72</v>
      </c>
      <c r="F515" s="21">
        <v>10</v>
      </c>
      <c r="G515" s="23">
        <v>142.5</v>
      </c>
      <c r="H515" s="23">
        <v>40.5</v>
      </c>
      <c r="I515" s="23">
        <v>19.899999999999999</v>
      </c>
    </row>
    <row r="516" spans="1:9" ht="17">
      <c r="A516" s="6" t="s">
        <v>1093</v>
      </c>
      <c r="B516" s="6" t="s">
        <v>26</v>
      </c>
      <c r="C516" s="6">
        <v>10</v>
      </c>
      <c r="D516" s="6" t="s">
        <v>1094</v>
      </c>
      <c r="E516" s="6" t="s">
        <v>69</v>
      </c>
      <c r="F516" s="21">
        <v>11</v>
      </c>
      <c r="G516" s="23">
        <v>156</v>
      </c>
      <c r="H516" s="23">
        <v>36.9</v>
      </c>
      <c r="I516" s="23">
        <v>15.2</v>
      </c>
    </row>
    <row r="517" spans="1:9" ht="17">
      <c r="A517" s="6" t="s">
        <v>1095</v>
      </c>
      <c r="B517" s="6" t="s">
        <v>26</v>
      </c>
      <c r="C517" s="6">
        <v>11</v>
      </c>
      <c r="D517" s="6" t="s">
        <v>1096</v>
      </c>
      <c r="E517" s="6" t="s">
        <v>69</v>
      </c>
      <c r="F517" s="21">
        <v>10</v>
      </c>
      <c r="G517" s="23">
        <v>141</v>
      </c>
      <c r="H517" s="23">
        <v>34.200000000000003</v>
      </c>
      <c r="I517" s="23">
        <v>17.2</v>
      </c>
    </row>
    <row r="518" spans="1:9" ht="17">
      <c r="A518" s="6" t="s">
        <v>1097</v>
      </c>
      <c r="B518" s="6" t="s">
        <v>26</v>
      </c>
      <c r="C518" s="6">
        <v>12</v>
      </c>
      <c r="D518" s="6" t="s">
        <v>1098</v>
      </c>
      <c r="E518" s="6" t="s">
        <v>69</v>
      </c>
      <c r="F518" s="21">
        <v>11</v>
      </c>
      <c r="G518" s="23">
        <v>140.5</v>
      </c>
      <c r="H518" s="23">
        <v>33.200000000000003</v>
      </c>
      <c r="I518" s="23">
        <v>16.8</v>
      </c>
    </row>
    <row r="519" spans="1:9" ht="17">
      <c r="A519" s="6" t="s">
        <v>1099</v>
      </c>
      <c r="B519" s="6" t="s">
        <v>26</v>
      </c>
      <c r="C519" s="6">
        <v>13</v>
      </c>
      <c r="D519" s="6" t="s">
        <v>1100</v>
      </c>
      <c r="E519" s="6" t="s">
        <v>69</v>
      </c>
      <c r="F519" s="21">
        <v>11</v>
      </c>
      <c r="G519" s="23">
        <v>157.5</v>
      </c>
      <c r="H519" s="23">
        <v>47.8</v>
      </c>
      <c r="I519" s="23">
        <v>19.3</v>
      </c>
    </row>
    <row r="520" spans="1:9" ht="17">
      <c r="A520" s="6" t="s">
        <v>1101</v>
      </c>
      <c r="B520" s="6" t="s">
        <v>26</v>
      </c>
      <c r="C520" s="6">
        <v>14</v>
      </c>
      <c r="D520" s="6" t="s">
        <v>1102</v>
      </c>
      <c r="E520" s="6" t="s">
        <v>72</v>
      </c>
      <c r="F520" s="21">
        <v>11</v>
      </c>
      <c r="G520" s="23">
        <v>150</v>
      </c>
      <c r="H520" s="23">
        <v>35</v>
      </c>
      <c r="I520" s="23">
        <v>15.6</v>
      </c>
    </row>
    <row r="521" spans="1:9" ht="17">
      <c r="A521" s="6" t="s">
        <v>1103</v>
      </c>
      <c r="B521" s="6" t="s">
        <v>26</v>
      </c>
      <c r="C521" s="6">
        <v>15</v>
      </c>
      <c r="D521" s="6" t="s">
        <v>1104</v>
      </c>
      <c r="E521" s="6" t="s">
        <v>69</v>
      </c>
      <c r="F521" s="21">
        <v>11</v>
      </c>
      <c r="G521" s="23">
        <v>154.5</v>
      </c>
      <c r="H521" s="23">
        <v>43.2</v>
      </c>
      <c r="I521" s="23">
        <v>18.100000000000001</v>
      </c>
    </row>
    <row r="522" spans="1:9" ht="17">
      <c r="A522" s="6" t="s">
        <v>1105</v>
      </c>
      <c r="B522" s="6" t="s">
        <v>26</v>
      </c>
      <c r="C522" s="6">
        <v>16</v>
      </c>
      <c r="D522" s="6" t="s">
        <v>1106</v>
      </c>
      <c r="E522" s="6" t="s">
        <v>69</v>
      </c>
      <c r="F522" s="21">
        <v>11</v>
      </c>
      <c r="G522" s="23">
        <v>148.5</v>
      </c>
      <c r="H522" s="23">
        <v>44</v>
      </c>
      <c r="I522" s="23">
        <v>20</v>
      </c>
    </row>
    <row r="523" spans="1:9" ht="17">
      <c r="A523" s="6" t="s">
        <v>1107</v>
      </c>
      <c r="B523" s="6" t="s">
        <v>26</v>
      </c>
      <c r="C523" s="6">
        <v>17</v>
      </c>
      <c r="D523" s="6" t="s">
        <v>1108</v>
      </c>
      <c r="E523" s="6" t="s">
        <v>72</v>
      </c>
      <c r="F523" s="21">
        <v>11</v>
      </c>
      <c r="G523" s="23">
        <v>143</v>
      </c>
      <c r="H523" s="23">
        <v>29.1</v>
      </c>
      <c r="I523" s="23">
        <v>14.2</v>
      </c>
    </row>
    <row r="524" spans="1:9" ht="17">
      <c r="A524" s="6" t="s">
        <v>1109</v>
      </c>
      <c r="B524" s="6" t="s">
        <v>26</v>
      </c>
      <c r="C524" s="6">
        <v>18</v>
      </c>
      <c r="D524" s="6" t="s">
        <v>1110</v>
      </c>
      <c r="E524" s="6" t="s">
        <v>69</v>
      </c>
      <c r="F524" s="21">
        <v>10</v>
      </c>
      <c r="G524" s="23">
        <v>147.5</v>
      </c>
      <c r="H524" s="23">
        <v>35.200000000000003</v>
      </c>
      <c r="I524" s="23">
        <v>16.2</v>
      </c>
    </row>
    <row r="525" spans="1:9" ht="17">
      <c r="A525" s="6" t="s">
        <v>1111</v>
      </c>
      <c r="B525" s="6" t="s">
        <v>26</v>
      </c>
      <c r="C525" s="6">
        <v>19</v>
      </c>
      <c r="D525" s="6" t="s">
        <v>1112</v>
      </c>
      <c r="E525" s="6" t="s">
        <v>69</v>
      </c>
      <c r="F525" s="21">
        <v>11</v>
      </c>
      <c r="G525" s="23">
        <v>146.5</v>
      </c>
      <c r="H525" s="23">
        <v>40.299999999999997</v>
      </c>
      <c r="I525" s="23">
        <v>18.8</v>
      </c>
    </row>
    <row r="526" spans="1:9" ht="17">
      <c r="A526" s="6" t="s">
        <v>1113</v>
      </c>
      <c r="B526" s="6" t="s">
        <v>26</v>
      </c>
      <c r="C526" s="6">
        <v>20</v>
      </c>
      <c r="D526" s="6" t="s">
        <v>1114</v>
      </c>
      <c r="E526" s="6" t="s">
        <v>69</v>
      </c>
      <c r="F526" s="21">
        <v>10</v>
      </c>
      <c r="G526" s="23">
        <v>142</v>
      </c>
      <c r="H526" s="23">
        <v>34.700000000000003</v>
      </c>
      <c r="I526" s="23">
        <v>17.2</v>
      </c>
    </row>
    <row r="527" spans="1:9" ht="17">
      <c r="A527" s="6" t="s">
        <v>1115</v>
      </c>
      <c r="B527" s="6" t="s">
        <v>26</v>
      </c>
      <c r="C527" s="6">
        <v>21</v>
      </c>
      <c r="D527" s="6" t="s">
        <v>1116</v>
      </c>
      <c r="E527" s="6" t="s">
        <v>72</v>
      </c>
      <c r="F527" s="21">
        <v>11</v>
      </c>
      <c r="G527" s="23">
        <v>148</v>
      </c>
      <c r="H527" s="23">
        <v>51.8</v>
      </c>
      <c r="I527" s="23">
        <v>23.6</v>
      </c>
    </row>
    <row r="528" spans="1:9" ht="17">
      <c r="A528" s="6" t="s">
        <v>1117</v>
      </c>
      <c r="B528" s="6" t="s">
        <v>26</v>
      </c>
      <c r="C528" s="6">
        <v>22</v>
      </c>
      <c r="D528" s="6" t="s">
        <v>1118</v>
      </c>
      <c r="E528" s="6" t="s">
        <v>69</v>
      </c>
      <c r="F528" s="21">
        <v>11</v>
      </c>
      <c r="G528" s="23">
        <v>134</v>
      </c>
      <c r="H528" s="23">
        <v>23.7</v>
      </c>
      <c r="I528" s="23">
        <v>13.2</v>
      </c>
    </row>
    <row r="529" spans="1:9" ht="17">
      <c r="A529" s="6" t="s">
        <v>1119</v>
      </c>
      <c r="B529" s="6" t="s">
        <v>26</v>
      </c>
      <c r="C529" s="6">
        <v>23</v>
      </c>
      <c r="D529" s="6" t="s">
        <v>1120</v>
      </c>
      <c r="E529" s="6" t="s">
        <v>72</v>
      </c>
      <c r="F529" s="21">
        <v>11</v>
      </c>
      <c r="G529" s="23">
        <v>155.5</v>
      </c>
      <c r="H529" s="23">
        <v>66.5</v>
      </c>
      <c r="I529" s="23">
        <v>27.5</v>
      </c>
    </row>
    <row r="530" spans="1:9" ht="17">
      <c r="A530" s="6" t="s">
        <v>1121</v>
      </c>
      <c r="B530" s="6" t="s">
        <v>26</v>
      </c>
      <c r="C530" s="6">
        <v>24</v>
      </c>
      <c r="D530" s="6" t="s">
        <v>1122</v>
      </c>
      <c r="E530" s="6" t="s">
        <v>72</v>
      </c>
      <c r="F530" s="21">
        <v>11</v>
      </c>
      <c r="G530" s="23">
        <v>156.5</v>
      </c>
      <c r="H530" s="23">
        <v>56.7</v>
      </c>
      <c r="I530" s="23">
        <v>23.2</v>
      </c>
    </row>
    <row r="531" spans="1:9" ht="17">
      <c r="A531" s="6" t="s">
        <v>1123</v>
      </c>
      <c r="B531" s="6" t="s">
        <v>26</v>
      </c>
      <c r="C531" s="6">
        <v>25</v>
      </c>
      <c r="D531" s="6" t="s">
        <v>1124</v>
      </c>
      <c r="E531" s="6" t="s">
        <v>72</v>
      </c>
      <c r="F531" s="21">
        <v>11</v>
      </c>
      <c r="G531" s="23">
        <v>144.5</v>
      </c>
      <c r="H531" s="23">
        <v>38.4</v>
      </c>
      <c r="I531" s="23">
        <v>18.399999999999999</v>
      </c>
    </row>
    <row r="532" spans="1:9" ht="17">
      <c r="A532" s="6" t="s">
        <v>1125</v>
      </c>
      <c r="B532" s="6" t="s">
        <v>26</v>
      </c>
      <c r="C532" s="6">
        <v>26</v>
      </c>
      <c r="D532" s="6" t="s">
        <v>1126</v>
      </c>
      <c r="E532" s="6" t="s">
        <v>69</v>
      </c>
      <c r="F532" s="21">
        <v>11</v>
      </c>
      <c r="G532" s="23">
        <v>140</v>
      </c>
      <c r="H532" s="23">
        <v>26.8</v>
      </c>
      <c r="I532" s="23">
        <v>13.7</v>
      </c>
    </row>
    <row r="533" spans="1:9" ht="17">
      <c r="A533" s="6" t="s">
        <v>1127</v>
      </c>
      <c r="B533" s="6" t="s">
        <v>26</v>
      </c>
      <c r="C533" s="6">
        <v>27</v>
      </c>
      <c r="D533" s="6" t="s">
        <v>1128</v>
      </c>
      <c r="E533" s="6" t="s">
        <v>72</v>
      </c>
      <c r="F533" s="21">
        <v>10</v>
      </c>
      <c r="G533" s="23">
        <v>143</v>
      </c>
      <c r="H533" s="23">
        <v>42.2</v>
      </c>
      <c r="I533" s="23">
        <v>20.6</v>
      </c>
    </row>
    <row r="534" spans="1:9" ht="17">
      <c r="A534" s="6" t="s">
        <v>1129</v>
      </c>
      <c r="B534" s="6" t="s">
        <v>26</v>
      </c>
      <c r="C534" s="6">
        <v>28</v>
      </c>
      <c r="D534" s="6" t="s">
        <v>1130</v>
      </c>
      <c r="E534" s="6" t="s">
        <v>69</v>
      </c>
      <c r="F534" s="21">
        <v>11</v>
      </c>
      <c r="G534" s="23">
        <v>150.5</v>
      </c>
      <c r="H534" s="23">
        <v>38.700000000000003</v>
      </c>
      <c r="I534" s="23">
        <v>17.100000000000001</v>
      </c>
    </row>
    <row r="535" spans="1:9" ht="17">
      <c r="A535" s="6" t="s">
        <v>1131</v>
      </c>
      <c r="B535" s="6" t="s">
        <v>26</v>
      </c>
      <c r="C535" s="6">
        <v>29</v>
      </c>
      <c r="D535" s="6" t="s">
        <v>1132</v>
      </c>
      <c r="E535" s="6" t="s">
        <v>69</v>
      </c>
      <c r="F535" s="21">
        <v>10</v>
      </c>
      <c r="G535" s="23">
        <v>138</v>
      </c>
      <c r="H535" s="23">
        <v>30.2</v>
      </c>
      <c r="I535" s="23">
        <v>15.9</v>
      </c>
    </row>
    <row r="536" spans="1:9" ht="17">
      <c r="A536" s="6" t="s">
        <v>1133</v>
      </c>
      <c r="B536" s="6" t="s">
        <v>26</v>
      </c>
      <c r="C536" s="6">
        <v>30</v>
      </c>
      <c r="D536" s="6" t="s">
        <v>1134</v>
      </c>
      <c r="E536" s="6" t="s">
        <v>69</v>
      </c>
      <c r="F536" s="21">
        <v>11</v>
      </c>
      <c r="G536" s="23">
        <v>149</v>
      </c>
      <c r="H536" s="23">
        <v>56.4</v>
      </c>
      <c r="I536" s="23">
        <v>25.4</v>
      </c>
    </row>
    <row r="537" spans="1:9" ht="17">
      <c r="A537" s="6" t="s">
        <v>1135</v>
      </c>
      <c r="B537" s="6" t="s">
        <v>26</v>
      </c>
      <c r="C537" s="6">
        <v>31</v>
      </c>
      <c r="D537" s="6" t="s">
        <v>1136</v>
      </c>
      <c r="E537" s="6" t="s">
        <v>72</v>
      </c>
      <c r="F537" s="21">
        <v>11</v>
      </c>
      <c r="G537" s="23">
        <v>145.5</v>
      </c>
      <c r="H537" s="23">
        <v>44.1</v>
      </c>
      <c r="I537" s="23">
        <v>20.8</v>
      </c>
    </row>
    <row r="538" spans="1:9" ht="17">
      <c r="A538" s="6" t="s">
        <v>1137</v>
      </c>
      <c r="B538" s="6" t="s">
        <v>26</v>
      </c>
      <c r="C538" s="6">
        <v>32</v>
      </c>
      <c r="D538" s="6" t="s">
        <v>1138</v>
      </c>
      <c r="E538" s="6" t="s">
        <v>72</v>
      </c>
      <c r="F538" s="21">
        <v>11</v>
      </c>
      <c r="G538" s="23">
        <v>163</v>
      </c>
      <c r="H538" s="23">
        <v>72.2</v>
      </c>
      <c r="I538" s="23">
        <v>27.2</v>
      </c>
    </row>
    <row r="539" spans="1:9" ht="17">
      <c r="A539" s="6" t="s">
        <v>1139</v>
      </c>
      <c r="B539" s="6" t="s">
        <v>27</v>
      </c>
      <c r="C539" s="6">
        <v>1</v>
      </c>
      <c r="D539" s="6" t="s">
        <v>1140</v>
      </c>
      <c r="E539" s="6" t="s">
        <v>72</v>
      </c>
      <c r="F539" s="21">
        <v>10</v>
      </c>
      <c r="G539" s="23">
        <v>136.5</v>
      </c>
      <c r="H539" s="23">
        <v>28.8</v>
      </c>
      <c r="I539" s="23">
        <v>15.5</v>
      </c>
    </row>
    <row r="540" spans="1:9" ht="17">
      <c r="A540" s="6" t="s">
        <v>1141</v>
      </c>
      <c r="B540" s="6" t="s">
        <v>27</v>
      </c>
      <c r="C540" s="6">
        <v>2</v>
      </c>
      <c r="D540" s="6" t="s">
        <v>1142</v>
      </c>
      <c r="E540" s="6" t="s">
        <v>72</v>
      </c>
      <c r="F540" s="21">
        <v>11</v>
      </c>
      <c r="G540" s="23">
        <v>139</v>
      </c>
      <c r="H540" s="23">
        <v>32.9</v>
      </c>
      <c r="I540" s="23">
        <v>17</v>
      </c>
    </row>
    <row r="541" spans="1:9" ht="17">
      <c r="A541" s="6" t="s">
        <v>1143</v>
      </c>
      <c r="B541" s="6" t="s">
        <v>27</v>
      </c>
      <c r="C541" s="6">
        <v>3</v>
      </c>
      <c r="D541" s="6" t="s">
        <v>1144</v>
      </c>
      <c r="E541" s="6" t="s">
        <v>72</v>
      </c>
      <c r="F541" s="21">
        <v>11</v>
      </c>
      <c r="G541" s="23">
        <v>150</v>
      </c>
      <c r="H541" s="23">
        <v>49.9</v>
      </c>
      <c r="I541" s="23">
        <v>22.2</v>
      </c>
    </row>
    <row r="542" spans="1:9" ht="17">
      <c r="A542" s="6" t="s">
        <v>1145</v>
      </c>
      <c r="B542" s="6" t="s">
        <v>27</v>
      </c>
      <c r="C542" s="6">
        <v>4</v>
      </c>
      <c r="D542" s="6" t="s">
        <v>1146</v>
      </c>
      <c r="E542" s="6" t="s">
        <v>69</v>
      </c>
      <c r="F542" s="21">
        <v>10</v>
      </c>
      <c r="G542" s="23">
        <v>138</v>
      </c>
      <c r="H542" s="23">
        <v>29.3</v>
      </c>
      <c r="I542" s="23">
        <v>15.4</v>
      </c>
    </row>
    <row r="543" spans="1:9" ht="17">
      <c r="A543" s="6" t="s">
        <v>1147</v>
      </c>
      <c r="B543" s="6" t="s">
        <v>27</v>
      </c>
      <c r="C543" s="6">
        <v>5</v>
      </c>
      <c r="D543" s="6" t="s">
        <v>1148</v>
      </c>
      <c r="E543" s="6" t="s">
        <v>72</v>
      </c>
      <c r="F543" s="21">
        <v>11</v>
      </c>
      <c r="G543" s="23">
        <v>139.5</v>
      </c>
      <c r="H543" s="23">
        <v>27.4</v>
      </c>
      <c r="I543" s="23">
        <v>14.1</v>
      </c>
    </row>
    <row r="544" spans="1:9" ht="17">
      <c r="A544" s="6" t="s">
        <v>1149</v>
      </c>
      <c r="B544" s="6" t="s">
        <v>27</v>
      </c>
      <c r="C544" s="6">
        <v>6</v>
      </c>
      <c r="D544" s="6" t="s">
        <v>1150</v>
      </c>
      <c r="E544" s="6" t="s">
        <v>69</v>
      </c>
      <c r="F544" s="21">
        <v>11</v>
      </c>
      <c r="G544" s="23">
        <v>141.5</v>
      </c>
      <c r="H544" s="23">
        <v>44.6</v>
      </c>
      <c r="I544" s="23">
        <v>22.3</v>
      </c>
    </row>
    <row r="545" spans="1:9" ht="17">
      <c r="A545" s="6" t="s">
        <v>1151</v>
      </c>
      <c r="B545" s="6" t="s">
        <v>27</v>
      </c>
      <c r="C545" s="6">
        <v>7</v>
      </c>
      <c r="D545" s="6" t="s">
        <v>1152</v>
      </c>
      <c r="E545" s="6" t="s">
        <v>69</v>
      </c>
      <c r="F545" s="21">
        <v>11</v>
      </c>
      <c r="G545" s="23">
        <v>152</v>
      </c>
      <c r="H545" s="23">
        <v>33.299999999999997</v>
      </c>
      <c r="I545" s="23">
        <v>14.4</v>
      </c>
    </row>
    <row r="546" spans="1:9" ht="17">
      <c r="A546" s="6" t="s">
        <v>1153</v>
      </c>
      <c r="B546" s="6" t="s">
        <v>27</v>
      </c>
      <c r="C546" s="6">
        <v>8</v>
      </c>
      <c r="D546" s="6" t="s">
        <v>1154</v>
      </c>
      <c r="E546" s="6" t="s">
        <v>72</v>
      </c>
      <c r="F546" s="21">
        <v>11</v>
      </c>
      <c r="G546" s="23">
        <v>144.5</v>
      </c>
      <c r="H546" s="23">
        <v>29.4</v>
      </c>
      <c r="I546" s="23">
        <v>14.1</v>
      </c>
    </row>
    <row r="547" spans="1:9" ht="17">
      <c r="A547" s="6" t="s">
        <v>1155</v>
      </c>
      <c r="B547" s="6" t="s">
        <v>27</v>
      </c>
      <c r="C547" s="6">
        <v>9</v>
      </c>
      <c r="D547" s="6" t="s">
        <v>1156</v>
      </c>
      <c r="E547" s="6" t="s">
        <v>72</v>
      </c>
      <c r="F547" s="21">
        <v>11</v>
      </c>
      <c r="G547" s="23">
        <v>148</v>
      </c>
      <c r="H547" s="23">
        <v>34.9</v>
      </c>
      <c r="I547" s="23">
        <v>15.9</v>
      </c>
    </row>
    <row r="548" spans="1:9" ht="17">
      <c r="A548" s="6" t="s">
        <v>1157</v>
      </c>
      <c r="B548" s="6" t="s">
        <v>27</v>
      </c>
      <c r="C548" s="6">
        <v>10</v>
      </c>
      <c r="D548" s="6" t="s">
        <v>1158</v>
      </c>
      <c r="E548" s="6" t="s">
        <v>72</v>
      </c>
      <c r="F548" s="21">
        <v>11</v>
      </c>
      <c r="G548" s="23">
        <v>147.5</v>
      </c>
      <c r="H548" s="23">
        <v>41.6</v>
      </c>
      <c r="I548" s="23">
        <v>19.100000000000001</v>
      </c>
    </row>
    <row r="549" spans="1:9" ht="17">
      <c r="A549" s="6" t="s">
        <v>1159</v>
      </c>
      <c r="B549" s="6" t="s">
        <v>27</v>
      </c>
      <c r="C549" s="6">
        <v>11</v>
      </c>
      <c r="D549" s="6" t="s">
        <v>1160</v>
      </c>
      <c r="E549" s="6" t="s">
        <v>69</v>
      </c>
      <c r="F549" s="21">
        <v>12</v>
      </c>
      <c r="G549" s="23">
        <v>151</v>
      </c>
      <c r="H549" s="23">
        <v>47.3</v>
      </c>
      <c r="I549" s="23">
        <v>20.7</v>
      </c>
    </row>
    <row r="550" spans="1:9" ht="17">
      <c r="A550" s="6" t="s">
        <v>1161</v>
      </c>
      <c r="B550" s="6" t="s">
        <v>27</v>
      </c>
      <c r="C550" s="6">
        <v>12</v>
      </c>
      <c r="D550" s="6" t="s">
        <v>1162</v>
      </c>
      <c r="E550" s="6" t="s">
        <v>69</v>
      </c>
      <c r="F550" s="21">
        <v>11</v>
      </c>
      <c r="G550" s="23">
        <v>152.5</v>
      </c>
      <c r="H550" s="23">
        <v>42.2</v>
      </c>
      <c r="I550" s="23">
        <v>18.100000000000001</v>
      </c>
    </row>
    <row r="551" spans="1:9" ht="17">
      <c r="A551" s="6" t="s">
        <v>1163</v>
      </c>
      <c r="B551" s="6" t="s">
        <v>27</v>
      </c>
      <c r="C551" s="6">
        <v>13</v>
      </c>
      <c r="D551" s="6" t="s">
        <v>1164</v>
      </c>
      <c r="E551" s="6" t="s">
        <v>69</v>
      </c>
      <c r="F551" s="21">
        <v>10</v>
      </c>
      <c r="G551" s="23">
        <v>141</v>
      </c>
      <c r="H551" s="23">
        <v>26.6</v>
      </c>
      <c r="I551" s="23">
        <v>13.4</v>
      </c>
    </row>
    <row r="552" spans="1:9" ht="17">
      <c r="A552" s="6" t="s">
        <v>1165</v>
      </c>
      <c r="B552" s="6" t="s">
        <v>27</v>
      </c>
      <c r="C552" s="6">
        <v>14</v>
      </c>
      <c r="D552" s="6" t="s">
        <v>1166</v>
      </c>
      <c r="E552" s="6" t="s">
        <v>69</v>
      </c>
      <c r="F552" s="21">
        <v>12</v>
      </c>
      <c r="G552" s="23">
        <v>157</v>
      </c>
      <c r="H552" s="23">
        <v>49.8</v>
      </c>
      <c r="I552" s="23">
        <v>20.2</v>
      </c>
    </row>
    <row r="553" spans="1:9" ht="17">
      <c r="A553" s="6" t="s">
        <v>1167</v>
      </c>
      <c r="B553" s="6" t="s">
        <v>27</v>
      </c>
      <c r="C553" s="6">
        <v>15</v>
      </c>
      <c r="D553" s="6" t="s">
        <v>1168</v>
      </c>
      <c r="E553" s="6" t="s">
        <v>69</v>
      </c>
      <c r="F553" s="21">
        <v>11</v>
      </c>
      <c r="G553" s="23">
        <v>144</v>
      </c>
      <c r="H553" s="23">
        <v>43.5</v>
      </c>
      <c r="I553" s="23">
        <v>21</v>
      </c>
    </row>
    <row r="554" spans="1:9" ht="17">
      <c r="A554" s="6" t="s">
        <v>1169</v>
      </c>
      <c r="B554" s="6" t="s">
        <v>27</v>
      </c>
      <c r="C554" s="6">
        <v>16</v>
      </c>
      <c r="D554" s="6" t="s">
        <v>1170</v>
      </c>
      <c r="E554" s="6" t="s">
        <v>72</v>
      </c>
      <c r="F554" s="21">
        <v>10</v>
      </c>
      <c r="G554" s="23">
        <v>144</v>
      </c>
      <c r="H554" s="23">
        <v>29.5</v>
      </c>
      <c r="I554" s="23">
        <v>14.2</v>
      </c>
    </row>
    <row r="555" spans="1:9" ht="17">
      <c r="A555" s="6" t="s">
        <v>1171</v>
      </c>
      <c r="B555" s="6" t="s">
        <v>27</v>
      </c>
      <c r="C555" s="6">
        <v>17</v>
      </c>
      <c r="D555" s="6" t="s">
        <v>1172</v>
      </c>
      <c r="E555" s="6" t="s">
        <v>72</v>
      </c>
      <c r="F555" s="21">
        <v>11</v>
      </c>
      <c r="G555" s="23">
        <v>139.5</v>
      </c>
      <c r="H555" s="23">
        <v>31.4</v>
      </c>
      <c r="I555" s="23">
        <v>16.100000000000001</v>
      </c>
    </row>
    <row r="556" spans="1:9" ht="17">
      <c r="A556" s="6" t="s">
        <v>1173</v>
      </c>
      <c r="B556" s="6" t="s">
        <v>27</v>
      </c>
      <c r="C556" s="6">
        <v>18</v>
      </c>
      <c r="D556" s="6" t="s">
        <v>1174</v>
      </c>
      <c r="E556" s="6" t="s">
        <v>69</v>
      </c>
      <c r="F556" s="21">
        <v>11</v>
      </c>
      <c r="G556" s="23">
        <v>148.5</v>
      </c>
      <c r="H556" s="23">
        <v>44</v>
      </c>
      <c r="I556" s="23">
        <v>20</v>
      </c>
    </row>
    <row r="557" spans="1:9" ht="17">
      <c r="A557" s="6" t="s">
        <v>1175</v>
      </c>
      <c r="B557" s="6" t="s">
        <v>27</v>
      </c>
      <c r="C557" s="6">
        <v>19</v>
      </c>
      <c r="D557" s="6" t="s">
        <v>1176</v>
      </c>
      <c r="E557" s="6" t="s">
        <v>72</v>
      </c>
      <c r="F557" s="21">
        <v>11</v>
      </c>
      <c r="G557" s="23">
        <v>155</v>
      </c>
      <c r="H557" s="23">
        <v>40.4</v>
      </c>
      <c r="I557" s="23">
        <v>16.8</v>
      </c>
    </row>
    <row r="558" spans="1:9" ht="17">
      <c r="A558" s="6" t="s">
        <v>1177</v>
      </c>
      <c r="B558" s="6" t="s">
        <v>27</v>
      </c>
      <c r="C558" s="6">
        <v>20</v>
      </c>
      <c r="D558" s="6" t="s">
        <v>1178</v>
      </c>
      <c r="E558" s="6" t="s">
        <v>72</v>
      </c>
      <c r="F558" s="21">
        <v>11</v>
      </c>
      <c r="G558" s="23">
        <v>152</v>
      </c>
      <c r="H558" s="23">
        <v>47.5</v>
      </c>
      <c r="I558" s="23">
        <v>20.6</v>
      </c>
    </row>
    <row r="559" spans="1:9" ht="17">
      <c r="A559" s="6" t="s">
        <v>1179</v>
      </c>
      <c r="B559" s="6" t="s">
        <v>27</v>
      </c>
      <c r="C559" s="6">
        <v>21</v>
      </c>
      <c r="D559" s="6" t="s">
        <v>1180</v>
      </c>
      <c r="E559" s="6" t="s">
        <v>72</v>
      </c>
      <c r="F559" s="21">
        <v>11</v>
      </c>
      <c r="G559" s="23">
        <v>153.5</v>
      </c>
      <c r="H559" s="23">
        <v>53.1</v>
      </c>
      <c r="I559" s="23">
        <v>22.5</v>
      </c>
    </row>
    <row r="560" spans="1:9" ht="17">
      <c r="A560" s="6" t="s">
        <v>1181</v>
      </c>
      <c r="B560" s="6" t="s">
        <v>27</v>
      </c>
      <c r="C560" s="6">
        <v>22</v>
      </c>
      <c r="D560" s="6" t="s">
        <v>1182</v>
      </c>
      <c r="E560" s="6" t="s">
        <v>69</v>
      </c>
      <c r="F560" s="21">
        <v>11</v>
      </c>
      <c r="G560" s="23">
        <v>148.5</v>
      </c>
      <c r="H560" s="23">
        <v>40.299999999999997</v>
      </c>
      <c r="I560" s="23">
        <v>18.3</v>
      </c>
    </row>
    <row r="561" spans="1:9" ht="17">
      <c r="A561" s="6" t="s">
        <v>1183</v>
      </c>
      <c r="B561" s="6" t="s">
        <v>27</v>
      </c>
      <c r="C561" s="6">
        <v>23</v>
      </c>
      <c r="D561" s="6" t="s">
        <v>1184</v>
      </c>
      <c r="E561" s="6" t="s">
        <v>69</v>
      </c>
      <c r="F561" s="21">
        <v>11</v>
      </c>
      <c r="G561" s="23">
        <v>137.5</v>
      </c>
      <c r="H561" s="23">
        <v>31</v>
      </c>
      <c r="I561" s="23">
        <v>16.399999999999999</v>
      </c>
    </row>
    <row r="562" spans="1:9" ht="17">
      <c r="A562" s="6" t="s">
        <v>1185</v>
      </c>
      <c r="B562" s="6" t="s">
        <v>27</v>
      </c>
      <c r="C562" s="6">
        <v>24</v>
      </c>
      <c r="D562" s="6" t="s">
        <v>1186</v>
      </c>
      <c r="E562" s="6" t="s">
        <v>69</v>
      </c>
      <c r="F562" s="21">
        <v>11</v>
      </c>
      <c r="G562" s="23">
        <v>152</v>
      </c>
      <c r="H562" s="23">
        <v>41.2</v>
      </c>
      <c r="I562" s="23">
        <v>17.8</v>
      </c>
    </row>
    <row r="563" spans="1:9" ht="17">
      <c r="A563" s="6" t="s">
        <v>1187</v>
      </c>
      <c r="B563" s="6" t="s">
        <v>27</v>
      </c>
      <c r="C563" s="6">
        <v>25</v>
      </c>
      <c r="D563" s="6" t="s">
        <v>1188</v>
      </c>
      <c r="E563" s="6" t="s">
        <v>72</v>
      </c>
      <c r="F563" s="21">
        <v>12</v>
      </c>
      <c r="G563" s="23">
        <v>150</v>
      </c>
      <c r="H563" s="23">
        <v>52.9</v>
      </c>
      <c r="I563" s="23">
        <v>23.5</v>
      </c>
    </row>
    <row r="564" spans="1:9" ht="17">
      <c r="A564" s="6" t="s">
        <v>1189</v>
      </c>
      <c r="B564" s="6" t="s">
        <v>27</v>
      </c>
      <c r="C564" s="6">
        <v>26</v>
      </c>
      <c r="D564" s="6" t="s">
        <v>1190</v>
      </c>
      <c r="E564" s="6" t="s">
        <v>69</v>
      </c>
      <c r="F564" s="21">
        <v>11</v>
      </c>
      <c r="G564" s="23">
        <v>156</v>
      </c>
      <c r="H564" s="23">
        <v>58.7</v>
      </c>
      <c r="I564" s="23">
        <v>24.1</v>
      </c>
    </row>
    <row r="565" spans="1:9" ht="17">
      <c r="A565" s="6" t="s">
        <v>1191</v>
      </c>
      <c r="B565" s="6" t="s">
        <v>27</v>
      </c>
      <c r="C565" s="6">
        <v>27</v>
      </c>
      <c r="D565" s="6" t="s">
        <v>1192</v>
      </c>
      <c r="E565" s="6" t="s">
        <v>69</v>
      </c>
      <c r="F565" s="21">
        <v>11</v>
      </c>
      <c r="G565" s="23">
        <v>154.5</v>
      </c>
      <c r="H565" s="23">
        <v>39</v>
      </c>
      <c r="I565" s="23">
        <v>16.3</v>
      </c>
    </row>
    <row r="566" spans="1:9" ht="17">
      <c r="A566" s="6" t="s">
        <v>1193</v>
      </c>
      <c r="B566" s="6" t="s">
        <v>27</v>
      </c>
      <c r="C566" s="6">
        <v>28</v>
      </c>
      <c r="D566" s="6" t="s">
        <v>1194</v>
      </c>
      <c r="E566" s="6" t="s">
        <v>72</v>
      </c>
      <c r="F566" s="21">
        <v>11</v>
      </c>
      <c r="G566" s="23">
        <v>154.5</v>
      </c>
      <c r="H566" s="23">
        <v>45.2</v>
      </c>
      <c r="I566" s="23">
        <v>18.899999999999999</v>
      </c>
    </row>
    <row r="567" spans="1:9" ht="17">
      <c r="A567" s="6" t="s">
        <v>1195</v>
      </c>
      <c r="B567" s="6" t="s">
        <v>27</v>
      </c>
      <c r="C567" s="6">
        <v>29</v>
      </c>
      <c r="D567" s="6" t="s">
        <v>1196</v>
      </c>
      <c r="E567" s="6" t="s">
        <v>72</v>
      </c>
      <c r="F567" s="21">
        <v>11</v>
      </c>
      <c r="G567" s="23">
        <v>160</v>
      </c>
      <c r="H567" s="23">
        <v>43.6</v>
      </c>
      <c r="I567" s="23">
        <v>17</v>
      </c>
    </row>
    <row r="568" spans="1:9" ht="17">
      <c r="A568" s="6" t="s">
        <v>1197</v>
      </c>
      <c r="B568" s="6" t="s">
        <v>27</v>
      </c>
      <c r="C568" s="6">
        <v>30</v>
      </c>
      <c r="D568" s="6" t="s">
        <v>1198</v>
      </c>
      <c r="E568" s="6" t="s">
        <v>69</v>
      </c>
      <c r="F568" s="21">
        <v>11</v>
      </c>
      <c r="G568" s="23">
        <v>139.5</v>
      </c>
      <c r="H568" s="23">
        <v>24.7</v>
      </c>
      <c r="I568" s="23">
        <v>12.7</v>
      </c>
    </row>
    <row r="569" spans="1:9" ht="17">
      <c r="A569" s="6" t="s">
        <v>1199</v>
      </c>
      <c r="B569" s="6" t="s">
        <v>27</v>
      </c>
      <c r="C569" s="6">
        <v>31</v>
      </c>
      <c r="D569" s="6" t="s">
        <v>1200</v>
      </c>
      <c r="E569" s="6" t="s">
        <v>69</v>
      </c>
      <c r="F569" s="21">
        <v>11</v>
      </c>
      <c r="G569" s="23">
        <v>144.5</v>
      </c>
      <c r="H569" s="23">
        <v>31.3</v>
      </c>
      <c r="I569" s="23">
        <v>15</v>
      </c>
    </row>
    <row r="570" spans="1:9" ht="17">
      <c r="A570" s="6" t="s">
        <v>1201</v>
      </c>
      <c r="B570" s="6" t="s">
        <v>27</v>
      </c>
      <c r="C570" s="6">
        <v>32</v>
      </c>
      <c r="D570" s="6" t="s">
        <v>1202</v>
      </c>
      <c r="E570" s="6" t="s">
        <v>69</v>
      </c>
      <c r="F570" s="21">
        <v>10</v>
      </c>
      <c r="G570" s="23">
        <v>146</v>
      </c>
      <c r="H570" s="23">
        <v>40.6</v>
      </c>
      <c r="I570" s="23">
        <v>19</v>
      </c>
    </row>
    <row r="571" spans="1:9" ht="17">
      <c r="A571" s="6" t="s">
        <v>1203</v>
      </c>
      <c r="B571" s="6" t="s">
        <v>27</v>
      </c>
      <c r="C571" s="6">
        <v>33</v>
      </c>
      <c r="D571" s="6" t="s">
        <v>1204</v>
      </c>
      <c r="E571" s="6" t="s">
        <v>69</v>
      </c>
      <c r="F571" s="21">
        <v>11</v>
      </c>
      <c r="G571" s="23">
        <v>155.5</v>
      </c>
      <c r="H571" s="23">
        <v>54.3</v>
      </c>
      <c r="I571" s="23">
        <v>22.5</v>
      </c>
    </row>
    <row r="572" spans="1:9" ht="17">
      <c r="A572" s="6" t="s">
        <v>1205</v>
      </c>
      <c r="B572" s="6" t="s">
        <v>28</v>
      </c>
      <c r="C572" s="6">
        <v>1</v>
      </c>
      <c r="D572" s="6" t="s">
        <v>1206</v>
      </c>
      <c r="E572" s="6" t="s">
        <v>69</v>
      </c>
      <c r="F572" s="21">
        <v>11</v>
      </c>
      <c r="G572" s="23">
        <v>152.5</v>
      </c>
      <c r="H572" s="23">
        <v>45.6</v>
      </c>
      <c r="I572" s="23">
        <v>19.600000000000001</v>
      </c>
    </row>
    <row r="573" spans="1:9" ht="17">
      <c r="A573" s="6" t="s">
        <v>1207</v>
      </c>
      <c r="B573" s="6" t="s">
        <v>28</v>
      </c>
      <c r="C573" s="6">
        <v>2</v>
      </c>
      <c r="D573" s="6" t="s">
        <v>1208</v>
      </c>
      <c r="E573" s="6" t="s">
        <v>72</v>
      </c>
      <c r="F573" s="21">
        <v>11</v>
      </c>
      <c r="G573" s="23">
        <v>157</v>
      </c>
      <c r="H573" s="23">
        <v>51.1</v>
      </c>
      <c r="I573" s="23">
        <v>20.7</v>
      </c>
    </row>
    <row r="574" spans="1:9" ht="17">
      <c r="A574" s="6" t="s">
        <v>1209</v>
      </c>
      <c r="B574" s="6" t="s">
        <v>28</v>
      </c>
      <c r="C574" s="6">
        <v>3</v>
      </c>
      <c r="D574" s="6" t="s">
        <v>1210</v>
      </c>
      <c r="E574" s="6" t="s">
        <v>72</v>
      </c>
      <c r="F574" s="21">
        <v>11</v>
      </c>
      <c r="G574" s="23">
        <v>144.5</v>
      </c>
      <c r="H574" s="23">
        <v>43</v>
      </c>
      <c r="I574" s="23">
        <v>20.6</v>
      </c>
    </row>
    <row r="575" spans="1:9" ht="17">
      <c r="A575" s="6" t="s">
        <v>1211</v>
      </c>
      <c r="B575" s="6" t="s">
        <v>28</v>
      </c>
      <c r="C575" s="6">
        <v>4</v>
      </c>
      <c r="D575" s="6" t="s">
        <v>1212</v>
      </c>
      <c r="E575" s="6" t="s">
        <v>72</v>
      </c>
      <c r="F575" s="21">
        <v>11</v>
      </c>
      <c r="G575" s="23">
        <v>138.5</v>
      </c>
      <c r="H575" s="23">
        <v>25.8</v>
      </c>
      <c r="I575" s="23">
        <v>13.4</v>
      </c>
    </row>
    <row r="576" spans="1:9" ht="17">
      <c r="A576" s="6" t="s">
        <v>1213</v>
      </c>
      <c r="B576" s="6" t="s">
        <v>28</v>
      </c>
      <c r="C576" s="6">
        <v>5</v>
      </c>
      <c r="D576" s="6" t="s">
        <v>1214</v>
      </c>
      <c r="E576" s="6" t="s">
        <v>69</v>
      </c>
      <c r="F576" s="21">
        <v>11</v>
      </c>
      <c r="G576" s="23">
        <v>154</v>
      </c>
      <c r="H576" s="23">
        <v>64.900000000000006</v>
      </c>
      <c r="I576" s="23">
        <v>27.4</v>
      </c>
    </row>
    <row r="577" spans="1:9" ht="17">
      <c r="A577" s="6" t="s">
        <v>1215</v>
      </c>
      <c r="B577" s="6" t="s">
        <v>28</v>
      </c>
      <c r="C577" s="6">
        <v>6</v>
      </c>
      <c r="D577" s="6" t="s">
        <v>1216</v>
      </c>
      <c r="E577" s="6" t="s">
        <v>69</v>
      </c>
      <c r="F577" s="21">
        <v>10</v>
      </c>
      <c r="G577" s="23">
        <v>140</v>
      </c>
      <c r="H577" s="23">
        <v>32</v>
      </c>
      <c r="I577" s="23">
        <v>16.3</v>
      </c>
    </row>
    <row r="578" spans="1:9" ht="17">
      <c r="A578" s="6" t="s">
        <v>1217</v>
      </c>
      <c r="B578" s="6" t="s">
        <v>28</v>
      </c>
      <c r="C578" s="6">
        <v>7</v>
      </c>
      <c r="D578" s="6" t="s">
        <v>1218</v>
      </c>
      <c r="E578" s="6" t="s">
        <v>69</v>
      </c>
      <c r="F578" s="21">
        <v>11</v>
      </c>
      <c r="G578" s="23">
        <v>144.5</v>
      </c>
      <c r="H578" s="23">
        <v>38.200000000000003</v>
      </c>
      <c r="I578" s="23">
        <v>18.3</v>
      </c>
    </row>
    <row r="579" spans="1:9" ht="17">
      <c r="A579" s="6" t="s">
        <v>1219</v>
      </c>
      <c r="B579" s="6" t="s">
        <v>28</v>
      </c>
      <c r="C579" s="6">
        <v>8</v>
      </c>
      <c r="D579" s="6" t="s">
        <v>1220</v>
      </c>
      <c r="E579" s="6" t="s">
        <v>69</v>
      </c>
      <c r="F579" s="21">
        <v>10</v>
      </c>
      <c r="G579" s="23">
        <v>146.5</v>
      </c>
      <c r="H579" s="23">
        <v>34.299999999999997</v>
      </c>
      <c r="I579" s="23">
        <v>16</v>
      </c>
    </row>
    <row r="580" spans="1:9" ht="17">
      <c r="A580" s="6" t="s">
        <v>1221</v>
      </c>
      <c r="B580" s="6" t="s">
        <v>28</v>
      </c>
      <c r="C580" s="6">
        <v>9</v>
      </c>
      <c r="D580" s="6" t="s">
        <v>1222</v>
      </c>
      <c r="E580" s="6" t="s">
        <v>69</v>
      </c>
      <c r="F580" s="21">
        <v>11</v>
      </c>
      <c r="G580" s="23">
        <v>152.5</v>
      </c>
      <c r="H580" s="23">
        <v>36.700000000000003</v>
      </c>
      <c r="I580" s="23">
        <v>15.8</v>
      </c>
    </row>
    <row r="581" spans="1:9" ht="17">
      <c r="A581" s="6" t="s">
        <v>1223</v>
      </c>
      <c r="B581" s="6" t="s">
        <v>28</v>
      </c>
      <c r="C581" s="6">
        <v>10</v>
      </c>
      <c r="D581" s="6" t="s">
        <v>1224</v>
      </c>
      <c r="E581" s="6" t="s">
        <v>72</v>
      </c>
      <c r="F581" s="21">
        <v>11</v>
      </c>
      <c r="G581" s="23">
        <v>158</v>
      </c>
      <c r="H581" s="23">
        <v>45.9</v>
      </c>
      <c r="I581" s="23">
        <v>18.399999999999999</v>
      </c>
    </row>
    <row r="582" spans="1:9" ht="17">
      <c r="A582" s="6" t="s">
        <v>1225</v>
      </c>
      <c r="B582" s="6" t="s">
        <v>28</v>
      </c>
      <c r="C582" s="6">
        <v>11</v>
      </c>
      <c r="D582" s="6" t="s">
        <v>1226</v>
      </c>
      <c r="E582" s="6" t="s">
        <v>72</v>
      </c>
      <c r="F582" s="21">
        <v>11</v>
      </c>
      <c r="G582" s="23">
        <v>147.5</v>
      </c>
      <c r="H582" s="23">
        <v>42.5</v>
      </c>
      <c r="I582" s="23">
        <v>19.5</v>
      </c>
    </row>
    <row r="583" spans="1:9" ht="17">
      <c r="A583" s="6" t="s">
        <v>1227</v>
      </c>
      <c r="B583" s="6" t="s">
        <v>28</v>
      </c>
      <c r="C583" s="6">
        <v>12</v>
      </c>
      <c r="D583" s="6" t="s">
        <v>1228</v>
      </c>
      <c r="E583" s="6" t="s">
        <v>72</v>
      </c>
      <c r="F583" s="21">
        <v>11</v>
      </c>
      <c r="G583" s="23">
        <v>142</v>
      </c>
      <c r="H583" s="23">
        <v>36.700000000000003</v>
      </c>
      <c r="I583" s="23">
        <v>18.2</v>
      </c>
    </row>
    <row r="584" spans="1:9" ht="17">
      <c r="A584" s="6" t="s">
        <v>1229</v>
      </c>
      <c r="B584" s="6" t="s">
        <v>28</v>
      </c>
      <c r="C584" s="6">
        <v>13</v>
      </c>
      <c r="D584" s="6" t="s">
        <v>1230</v>
      </c>
      <c r="E584" s="6" t="s">
        <v>69</v>
      </c>
      <c r="F584" s="21">
        <v>10</v>
      </c>
      <c r="G584" s="23">
        <v>142.5</v>
      </c>
      <c r="H584" s="23">
        <v>32</v>
      </c>
      <c r="I584" s="23">
        <v>15.8</v>
      </c>
    </row>
    <row r="585" spans="1:9" ht="17">
      <c r="A585" s="6" t="s">
        <v>1231</v>
      </c>
      <c r="B585" s="6" t="s">
        <v>28</v>
      </c>
      <c r="C585" s="6">
        <v>14</v>
      </c>
      <c r="D585" s="6" t="s">
        <v>1232</v>
      </c>
      <c r="E585" s="6" t="s">
        <v>72</v>
      </c>
      <c r="F585" s="21">
        <v>11</v>
      </c>
      <c r="G585" s="23">
        <v>145</v>
      </c>
      <c r="H585" s="23">
        <v>35.4</v>
      </c>
      <c r="I585" s="23">
        <v>16.8</v>
      </c>
    </row>
    <row r="586" spans="1:9" ht="17">
      <c r="A586" s="6" t="s">
        <v>1233</v>
      </c>
      <c r="B586" s="6" t="s">
        <v>28</v>
      </c>
      <c r="C586" s="6">
        <v>15</v>
      </c>
      <c r="D586" s="6" t="s">
        <v>1234</v>
      </c>
      <c r="E586" s="6" t="s">
        <v>69</v>
      </c>
      <c r="F586" s="21">
        <v>10</v>
      </c>
      <c r="G586" s="23">
        <v>137</v>
      </c>
      <c r="H586" s="23">
        <v>32.299999999999997</v>
      </c>
      <c r="I586" s="23">
        <v>17.2</v>
      </c>
    </row>
    <row r="587" spans="1:9" ht="17">
      <c r="A587" s="6" t="s">
        <v>1235</v>
      </c>
      <c r="B587" s="6" t="s">
        <v>28</v>
      </c>
      <c r="C587" s="6">
        <v>16</v>
      </c>
      <c r="D587" s="6" t="s">
        <v>1236</v>
      </c>
      <c r="E587" s="6" t="s">
        <v>69</v>
      </c>
      <c r="F587" s="21">
        <v>11</v>
      </c>
      <c r="G587" s="23">
        <v>151</v>
      </c>
      <c r="H587" s="23">
        <v>42.1</v>
      </c>
      <c r="I587" s="23">
        <v>18.5</v>
      </c>
    </row>
    <row r="588" spans="1:9" ht="17">
      <c r="A588" s="6" t="s">
        <v>1237</v>
      </c>
      <c r="B588" s="6" t="s">
        <v>28</v>
      </c>
      <c r="C588" s="6">
        <v>17</v>
      </c>
      <c r="D588" s="6" t="s">
        <v>1238</v>
      </c>
      <c r="E588" s="6" t="s">
        <v>69</v>
      </c>
      <c r="F588" s="21">
        <v>11</v>
      </c>
      <c r="G588" s="23">
        <v>147.5</v>
      </c>
      <c r="H588" s="23">
        <v>32.6</v>
      </c>
      <c r="I588" s="23">
        <v>15</v>
      </c>
    </row>
    <row r="589" spans="1:9" ht="17">
      <c r="A589" s="6" t="s">
        <v>1239</v>
      </c>
      <c r="B589" s="6" t="s">
        <v>28</v>
      </c>
      <c r="C589" s="6">
        <v>18</v>
      </c>
      <c r="D589" s="6" t="s">
        <v>1240</v>
      </c>
      <c r="E589" s="6" t="s">
        <v>69</v>
      </c>
      <c r="F589" s="21">
        <v>11</v>
      </c>
      <c r="G589" s="23">
        <v>157.5</v>
      </c>
      <c r="H589" s="23">
        <v>38.6</v>
      </c>
      <c r="I589" s="23">
        <v>15.6</v>
      </c>
    </row>
    <row r="590" spans="1:9" ht="17">
      <c r="A590" s="6" t="s">
        <v>1241</v>
      </c>
      <c r="B590" s="6" t="s">
        <v>28</v>
      </c>
      <c r="C590" s="6">
        <v>19</v>
      </c>
      <c r="D590" s="6" t="s">
        <v>1242</v>
      </c>
      <c r="E590" s="6" t="s">
        <v>69</v>
      </c>
      <c r="F590" s="21">
        <v>11</v>
      </c>
      <c r="G590" s="23">
        <v>151</v>
      </c>
      <c r="H590" s="23">
        <v>40.9</v>
      </c>
      <c r="I590" s="23">
        <v>17.899999999999999</v>
      </c>
    </row>
    <row r="591" spans="1:9" ht="17">
      <c r="A591" s="6" t="s">
        <v>1243</v>
      </c>
      <c r="B591" s="6" t="s">
        <v>28</v>
      </c>
      <c r="C591" s="6">
        <v>20</v>
      </c>
      <c r="D591" s="6" t="s">
        <v>1244</v>
      </c>
      <c r="E591" s="6" t="s">
        <v>69</v>
      </c>
      <c r="F591" s="21">
        <v>11</v>
      </c>
      <c r="G591" s="23">
        <v>142.5</v>
      </c>
      <c r="H591" s="23">
        <v>31.8</v>
      </c>
      <c r="I591" s="23">
        <v>15.7</v>
      </c>
    </row>
    <row r="592" spans="1:9" ht="17">
      <c r="A592" s="6" t="s">
        <v>1245</v>
      </c>
      <c r="B592" s="6" t="s">
        <v>28</v>
      </c>
      <c r="C592" s="6">
        <v>21</v>
      </c>
      <c r="D592" s="6" t="s">
        <v>1246</v>
      </c>
      <c r="E592" s="6" t="s">
        <v>72</v>
      </c>
      <c r="F592" s="21">
        <v>11</v>
      </c>
      <c r="G592" s="23">
        <v>139.5</v>
      </c>
      <c r="H592" s="23">
        <v>47.4</v>
      </c>
      <c r="I592" s="23">
        <v>24.4</v>
      </c>
    </row>
    <row r="593" spans="1:9" ht="17">
      <c r="A593" s="6" t="s">
        <v>1247</v>
      </c>
      <c r="B593" s="6" t="s">
        <v>28</v>
      </c>
      <c r="C593" s="6">
        <v>22</v>
      </c>
      <c r="D593" s="6" t="s">
        <v>1248</v>
      </c>
      <c r="E593" s="6" t="s">
        <v>69</v>
      </c>
      <c r="F593" s="21">
        <v>11</v>
      </c>
      <c r="G593" s="23">
        <v>150.5</v>
      </c>
      <c r="H593" s="23">
        <v>36.799999999999997</v>
      </c>
      <c r="I593" s="23">
        <v>16.2</v>
      </c>
    </row>
    <row r="594" spans="1:9" ht="17">
      <c r="A594" s="6" t="s">
        <v>1249</v>
      </c>
      <c r="B594" s="6" t="s">
        <v>28</v>
      </c>
      <c r="C594" s="6">
        <v>23</v>
      </c>
      <c r="D594" s="6" t="s">
        <v>1250</v>
      </c>
      <c r="E594" s="6" t="s">
        <v>72</v>
      </c>
      <c r="F594" s="21">
        <v>11</v>
      </c>
      <c r="G594" s="23">
        <v>133.5</v>
      </c>
      <c r="H594" s="23">
        <v>28.6</v>
      </c>
      <c r="I594" s="23">
        <v>16</v>
      </c>
    </row>
    <row r="595" spans="1:9" ht="17">
      <c r="A595" s="6" t="s">
        <v>1251</v>
      </c>
      <c r="B595" s="6" t="s">
        <v>28</v>
      </c>
      <c r="C595" s="6">
        <v>24</v>
      </c>
      <c r="D595" s="6" t="s">
        <v>1252</v>
      </c>
      <c r="E595" s="6" t="s">
        <v>72</v>
      </c>
      <c r="F595" s="21">
        <v>10</v>
      </c>
      <c r="G595" s="23">
        <v>150</v>
      </c>
      <c r="H595" s="23">
        <v>56.4</v>
      </c>
      <c r="I595" s="23">
        <v>25.1</v>
      </c>
    </row>
    <row r="596" spans="1:9" ht="17">
      <c r="A596" s="6" t="s">
        <v>1253</v>
      </c>
      <c r="B596" s="6" t="s">
        <v>28</v>
      </c>
      <c r="C596" s="6">
        <v>25</v>
      </c>
      <c r="D596" s="6" t="s">
        <v>1254</v>
      </c>
      <c r="E596" s="6" t="s">
        <v>69</v>
      </c>
      <c r="F596" s="21">
        <v>10</v>
      </c>
      <c r="G596" s="23">
        <v>143</v>
      </c>
      <c r="H596" s="23">
        <v>33.299999999999997</v>
      </c>
      <c r="I596" s="23">
        <v>16.3</v>
      </c>
    </row>
    <row r="597" spans="1:9" ht="17">
      <c r="A597" s="6" t="s">
        <v>1255</v>
      </c>
      <c r="B597" s="6" t="s">
        <v>28</v>
      </c>
      <c r="C597" s="6">
        <v>26</v>
      </c>
      <c r="D597" s="6" t="s">
        <v>1256</v>
      </c>
      <c r="E597" s="6" t="s">
        <v>72</v>
      </c>
      <c r="F597" s="21">
        <v>11</v>
      </c>
      <c r="G597" s="23">
        <v>147</v>
      </c>
      <c r="H597" s="23">
        <v>35.4</v>
      </c>
      <c r="I597" s="23">
        <v>16.399999999999999</v>
      </c>
    </row>
    <row r="598" spans="1:9" ht="17">
      <c r="A598" s="6" t="s">
        <v>1257</v>
      </c>
      <c r="B598" s="6" t="s">
        <v>28</v>
      </c>
      <c r="C598" s="6">
        <v>27</v>
      </c>
      <c r="D598" s="6" t="s">
        <v>1258</v>
      </c>
      <c r="E598" s="6" t="s">
        <v>69</v>
      </c>
      <c r="F598" s="21">
        <v>11</v>
      </c>
      <c r="G598" s="23">
        <v>155.5</v>
      </c>
      <c r="H598" s="23">
        <v>37.1</v>
      </c>
      <c r="I598" s="23">
        <v>15.3</v>
      </c>
    </row>
    <row r="599" spans="1:9" ht="17">
      <c r="A599" s="6" t="s">
        <v>1259</v>
      </c>
      <c r="B599" s="6" t="s">
        <v>28</v>
      </c>
      <c r="C599" s="6">
        <v>28</v>
      </c>
      <c r="D599" s="6" t="s">
        <v>1260</v>
      </c>
      <c r="E599" s="6" t="s">
        <v>72</v>
      </c>
      <c r="F599" s="21">
        <v>11</v>
      </c>
      <c r="G599" s="23">
        <v>133</v>
      </c>
      <c r="H599" s="23">
        <v>33.700000000000003</v>
      </c>
      <c r="I599" s="23">
        <v>19.100000000000001</v>
      </c>
    </row>
    <row r="600" spans="1:9" ht="17">
      <c r="A600" s="6" t="s">
        <v>1261</v>
      </c>
      <c r="B600" s="6" t="s">
        <v>28</v>
      </c>
      <c r="C600" s="6">
        <v>29</v>
      </c>
      <c r="D600" s="6" t="s">
        <v>1262</v>
      </c>
      <c r="E600" s="6" t="s">
        <v>72</v>
      </c>
      <c r="F600" s="21">
        <v>11</v>
      </c>
      <c r="G600" s="23">
        <v>151</v>
      </c>
      <c r="H600" s="23">
        <v>43.3</v>
      </c>
      <c r="I600" s="23">
        <v>19</v>
      </c>
    </row>
    <row r="601" spans="1:9" ht="17">
      <c r="A601" s="6" t="s">
        <v>1263</v>
      </c>
      <c r="B601" s="6" t="s">
        <v>28</v>
      </c>
      <c r="C601" s="6">
        <v>30</v>
      </c>
      <c r="D601" s="6" t="s">
        <v>1264</v>
      </c>
      <c r="E601" s="6" t="s">
        <v>72</v>
      </c>
      <c r="F601" s="21">
        <v>10</v>
      </c>
      <c r="G601" s="23">
        <v>135.5</v>
      </c>
      <c r="H601" s="23">
        <v>25.3</v>
      </c>
      <c r="I601" s="23">
        <v>13.8</v>
      </c>
    </row>
    <row r="602" spans="1:9" ht="17">
      <c r="A602" s="6" t="s">
        <v>1265</v>
      </c>
      <c r="B602" s="6" t="s">
        <v>28</v>
      </c>
      <c r="C602" s="6">
        <v>31</v>
      </c>
      <c r="D602" s="6" t="s">
        <v>1266</v>
      </c>
      <c r="E602" s="6" t="s">
        <v>72</v>
      </c>
      <c r="F602" s="21">
        <v>11</v>
      </c>
      <c r="G602" s="23">
        <v>157</v>
      </c>
      <c r="H602" s="23">
        <v>59.1</v>
      </c>
      <c r="I602" s="23">
        <v>24</v>
      </c>
    </row>
    <row r="603" spans="1:9" ht="17">
      <c r="A603" s="6" t="s">
        <v>1267</v>
      </c>
      <c r="B603" s="6" t="s">
        <v>28</v>
      </c>
      <c r="C603" s="6">
        <v>32</v>
      </c>
      <c r="D603" s="6" t="s">
        <v>1268</v>
      </c>
      <c r="E603" s="6" t="s">
        <v>72</v>
      </c>
      <c r="F603" s="21">
        <v>11</v>
      </c>
      <c r="G603" s="23">
        <v>151</v>
      </c>
      <c r="H603" s="23">
        <v>52.4</v>
      </c>
      <c r="I603" s="23">
        <v>23</v>
      </c>
    </row>
    <row r="604" spans="1:9" ht="17">
      <c r="A604" s="6" t="s">
        <v>1269</v>
      </c>
      <c r="B604" s="6" t="s">
        <v>28</v>
      </c>
      <c r="C604" s="6">
        <v>33</v>
      </c>
      <c r="D604" s="6" t="s">
        <v>1270</v>
      </c>
      <c r="E604" s="6" t="s">
        <v>72</v>
      </c>
      <c r="F604" s="21">
        <v>10</v>
      </c>
      <c r="G604" s="23">
        <v>143</v>
      </c>
      <c r="H604" s="23">
        <v>36.1</v>
      </c>
      <c r="I604" s="23">
        <v>17.7</v>
      </c>
    </row>
    <row r="605" spans="1:9" ht="17">
      <c r="A605" s="6" t="s">
        <v>1271</v>
      </c>
      <c r="B605" s="6" t="s">
        <v>29</v>
      </c>
      <c r="C605" s="6">
        <v>1</v>
      </c>
      <c r="D605" s="6" t="s">
        <v>1272</v>
      </c>
      <c r="E605" s="6" t="s">
        <v>69</v>
      </c>
      <c r="F605" s="21">
        <v>10</v>
      </c>
      <c r="G605" s="23">
        <v>157.5</v>
      </c>
      <c r="H605" s="23">
        <v>39.700000000000003</v>
      </c>
      <c r="I605" s="23">
        <v>16</v>
      </c>
    </row>
    <row r="606" spans="1:9" ht="17">
      <c r="A606" s="6" t="s">
        <v>1273</v>
      </c>
      <c r="B606" s="6" t="s">
        <v>29</v>
      </c>
      <c r="C606" s="6">
        <v>2</v>
      </c>
      <c r="D606" s="6" t="s">
        <v>1274</v>
      </c>
      <c r="E606" s="6" t="s">
        <v>72</v>
      </c>
      <c r="F606" s="21">
        <v>11</v>
      </c>
      <c r="G606" s="23">
        <v>149</v>
      </c>
      <c r="H606" s="23">
        <v>35.4</v>
      </c>
      <c r="I606" s="23">
        <v>15.9</v>
      </c>
    </row>
    <row r="607" spans="1:9" ht="17">
      <c r="A607" s="6" t="s">
        <v>1275</v>
      </c>
      <c r="B607" s="6" t="s">
        <v>29</v>
      </c>
      <c r="C607" s="6">
        <v>3</v>
      </c>
      <c r="D607" s="6" t="s">
        <v>1276</v>
      </c>
      <c r="E607" s="6" t="s">
        <v>72</v>
      </c>
      <c r="F607" s="21">
        <v>11</v>
      </c>
      <c r="G607" s="23">
        <v>134</v>
      </c>
      <c r="H607" s="23">
        <v>25.8</v>
      </c>
      <c r="I607" s="23">
        <v>14.4</v>
      </c>
    </row>
    <row r="608" spans="1:9" ht="17">
      <c r="A608" s="6" t="s">
        <v>1277</v>
      </c>
      <c r="B608" s="6" t="s">
        <v>29</v>
      </c>
      <c r="C608" s="6">
        <v>4</v>
      </c>
      <c r="D608" s="6" t="s">
        <v>1278</v>
      </c>
      <c r="E608" s="6" t="s">
        <v>69</v>
      </c>
      <c r="F608" s="21">
        <v>10</v>
      </c>
      <c r="G608" s="23">
        <v>147.5</v>
      </c>
      <c r="H608" s="23">
        <v>30.5</v>
      </c>
      <c r="I608" s="23">
        <v>14</v>
      </c>
    </row>
    <row r="609" spans="1:9" ht="17">
      <c r="A609" s="6" t="s">
        <v>1279</v>
      </c>
      <c r="B609" s="6" t="s">
        <v>29</v>
      </c>
      <c r="C609" s="6">
        <v>5</v>
      </c>
      <c r="D609" s="6" t="s">
        <v>1280</v>
      </c>
      <c r="E609" s="6" t="s">
        <v>69</v>
      </c>
      <c r="F609" s="21">
        <v>10</v>
      </c>
      <c r="G609" s="23">
        <v>146.5</v>
      </c>
      <c r="H609" s="23">
        <v>42.4</v>
      </c>
      <c r="I609" s="23">
        <v>19.8</v>
      </c>
    </row>
    <row r="610" spans="1:9" ht="17">
      <c r="A610" s="6" t="s">
        <v>1281</v>
      </c>
      <c r="B610" s="6" t="s">
        <v>29</v>
      </c>
      <c r="C610" s="6">
        <v>6</v>
      </c>
      <c r="D610" s="6" t="s">
        <v>1282</v>
      </c>
      <c r="E610" s="6" t="s">
        <v>69</v>
      </c>
      <c r="F610" s="21">
        <v>11</v>
      </c>
      <c r="G610" s="23">
        <v>149.5</v>
      </c>
      <c r="H610" s="23">
        <v>45.1</v>
      </c>
      <c r="I610" s="23">
        <v>20.2</v>
      </c>
    </row>
    <row r="611" spans="1:9" ht="17">
      <c r="A611" s="6" t="s">
        <v>1283</v>
      </c>
      <c r="B611" s="6" t="s">
        <v>29</v>
      </c>
      <c r="C611" s="6">
        <v>7</v>
      </c>
      <c r="D611" s="6" t="s">
        <v>1284</v>
      </c>
      <c r="E611" s="6" t="s">
        <v>72</v>
      </c>
      <c r="F611" s="21">
        <v>12</v>
      </c>
      <c r="G611" s="23">
        <v>152.5</v>
      </c>
      <c r="H611" s="23">
        <v>41.5</v>
      </c>
      <c r="I611" s="23">
        <v>17.8</v>
      </c>
    </row>
    <row r="612" spans="1:9" ht="17">
      <c r="A612" s="6" t="s">
        <v>1285</v>
      </c>
      <c r="B612" s="6" t="s">
        <v>29</v>
      </c>
      <c r="C612" s="6">
        <v>8</v>
      </c>
      <c r="D612" s="6" t="s">
        <v>1286</v>
      </c>
      <c r="E612" s="6" t="s">
        <v>72</v>
      </c>
      <c r="F612" s="21">
        <v>11</v>
      </c>
      <c r="G612" s="23">
        <v>140</v>
      </c>
      <c r="H612" s="23">
        <v>45.4</v>
      </c>
      <c r="I612" s="23">
        <v>23.2</v>
      </c>
    </row>
    <row r="613" spans="1:9" ht="17">
      <c r="A613" s="6" t="s">
        <v>1287</v>
      </c>
      <c r="B613" s="6" t="s">
        <v>29</v>
      </c>
      <c r="C613" s="6">
        <v>9</v>
      </c>
      <c r="D613" s="6" t="s">
        <v>1288</v>
      </c>
      <c r="E613" s="6" t="s">
        <v>72</v>
      </c>
      <c r="F613" s="21">
        <v>11</v>
      </c>
      <c r="G613" s="23">
        <v>154.5</v>
      </c>
      <c r="H613" s="23">
        <v>56.2</v>
      </c>
      <c r="I613" s="23">
        <v>23.5</v>
      </c>
    </row>
    <row r="614" spans="1:9" ht="17">
      <c r="A614" s="6" t="s">
        <v>1289</v>
      </c>
      <c r="B614" s="6" t="s">
        <v>29</v>
      </c>
      <c r="C614" s="6">
        <v>10</v>
      </c>
      <c r="D614" s="6" t="s">
        <v>1290</v>
      </c>
      <c r="E614" s="6" t="s">
        <v>69</v>
      </c>
      <c r="F614" s="21">
        <v>10</v>
      </c>
      <c r="G614" s="23">
        <v>149.5</v>
      </c>
      <c r="H614" s="23">
        <v>51.8</v>
      </c>
      <c r="I614" s="23">
        <v>23.2</v>
      </c>
    </row>
    <row r="615" spans="1:9" ht="17">
      <c r="A615" s="6" t="s">
        <v>1291</v>
      </c>
      <c r="B615" s="6" t="s">
        <v>29</v>
      </c>
      <c r="C615" s="6">
        <v>11</v>
      </c>
      <c r="D615" s="6" t="s">
        <v>1292</v>
      </c>
      <c r="E615" s="6" t="s">
        <v>72</v>
      </c>
      <c r="F615" s="21">
        <v>11</v>
      </c>
      <c r="G615" s="23">
        <v>154.5</v>
      </c>
      <c r="H615" s="23">
        <v>43</v>
      </c>
      <c r="I615" s="23">
        <v>18</v>
      </c>
    </row>
    <row r="616" spans="1:9" ht="17">
      <c r="A616" s="6" t="s">
        <v>1293</v>
      </c>
      <c r="B616" s="6" t="s">
        <v>29</v>
      </c>
      <c r="C616" s="6">
        <v>12</v>
      </c>
      <c r="D616" s="6" t="s">
        <v>1294</v>
      </c>
      <c r="E616" s="6" t="s">
        <v>72</v>
      </c>
      <c r="F616" s="21">
        <v>11</v>
      </c>
      <c r="G616" s="23">
        <v>160.5</v>
      </c>
      <c r="H616" s="23">
        <v>51.9</v>
      </c>
      <c r="I616" s="23">
        <v>20.100000000000001</v>
      </c>
    </row>
    <row r="617" spans="1:9" ht="17">
      <c r="A617" s="6" t="s">
        <v>1295</v>
      </c>
      <c r="B617" s="6" t="s">
        <v>29</v>
      </c>
      <c r="C617" s="6">
        <v>13</v>
      </c>
      <c r="D617" s="6" t="s">
        <v>1296</v>
      </c>
      <c r="E617" s="6" t="s">
        <v>69</v>
      </c>
      <c r="F617" s="21">
        <v>11</v>
      </c>
      <c r="G617" s="23">
        <v>146</v>
      </c>
      <c r="H617" s="23">
        <v>34.200000000000003</v>
      </c>
      <c r="I617" s="23">
        <v>16</v>
      </c>
    </row>
    <row r="618" spans="1:9" ht="17">
      <c r="A618" s="6" t="s">
        <v>1297</v>
      </c>
      <c r="B618" s="6" t="s">
        <v>29</v>
      </c>
      <c r="C618" s="6">
        <v>14</v>
      </c>
      <c r="D618" s="6" t="s">
        <v>1298</v>
      </c>
      <c r="E618" s="6" t="s">
        <v>72</v>
      </c>
      <c r="F618" s="21">
        <v>11</v>
      </c>
      <c r="G618" s="23">
        <v>138.5</v>
      </c>
      <c r="H618" s="23">
        <v>27.7</v>
      </c>
      <c r="I618" s="23">
        <v>14.4</v>
      </c>
    </row>
    <row r="619" spans="1:9" ht="17">
      <c r="A619" s="6" t="s">
        <v>1299</v>
      </c>
      <c r="B619" s="6" t="s">
        <v>29</v>
      </c>
      <c r="C619" s="6">
        <v>15</v>
      </c>
      <c r="D619" s="6" t="s">
        <v>1300</v>
      </c>
      <c r="E619" s="6" t="s">
        <v>72</v>
      </c>
      <c r="F619" s="21">
        <v>11</v>
      </c>
      <c r="G619" s="23">
        <v>148</v>
      </c>
      <c r="H619" s="23">
        <v>44.3</v>
      </c>
      <c r="I619" s="23">
        <v>20.2</v>
      </c>
    </row>
    <row r="620" spans="1:9" ht="17">
      <c r="A620" s="6" t="s">
        <v>1301</v>
      </c>
      <c r="B620" s="6" t="s">
        <v>29</v>
      </c>
      <c r="C620" s="6">
        <v>16</v>
      </c>
      <c r="D620" s="6" t="s">
        <v>1302</v>
      </c>
      <c r="E620" s="6" t="s">
        <v>69</v>
      </c>
      <c r="F620" s="21">
        <v>13</v>
      </c>
      <c r="G620" s="23">
        <v>158</v>
      </c>
      <c r="H620" s="23">
        <v>38.4</v>
      </c>
      <c r="I620" s="23">
        <v>15.4</v>
      </c>
    </row>
    <row r="621" spans="1:9" ht="17">
      <c r="A621" s="6" t="s">
        <v>1303</v>
      </c>
      <c r="B621" s="6" t="s">
        <v>29</v>
      </c>
      <c r="C621" s="6">
        <v>17</v>
      </c>
      <c r="D621" s="6" t="s">
        <v>1304</v>
      </c>
      <c r="E621" s="6" t="s">
        <v>72</v>
      </c>
      <c r="F621" s="21">
        <v>11</v>
      </c>
      <c r="G621" s="23">
        <v>141</v>
      </c>
      <c r="H621" s="23">
        <v>41.7</v>
      </c>
      <c r="I621" s="23">
        <v>21</v>
      </c>
    </row>
    <row r="622" spans="1:9" ht="17">
      <c r="A622" s="6" t="s">
        <v>1305</v>
      </c>
      <c r="B622" s="6" t="s">
        <v>29</v>
      </c>
      <c r="C622" s="6">
        <v>18</v>
      </c>
      <c r="D622" s="6" t="s">
        <v>1306</v>
      </c>
      <c r="E622" s="6" t="s">
        <v>72</v>
      </c>
      <c r="F622" s="21">
        <v>11</v>
      </c>
      <c r="G622" s="23">
        <v>147</v>
      </c>
      <c r="H622" s="23">
        <v>45.6</v>
      </c>
      <c r="I622" s="23">
        <v>21.1</v>
      </c>
    </row>
    <row r="623" spans="1:9" ht="17">
      <c r="A623" s="6" t="s">
        <v>1307</v>
      </c>
      <c r="B623" s="6" t="s">
        <v>29</v>
      </c>
      <c r="C623" s="6">
        <v>19</v>
      </c>
      <c r="D623" s="6" t="s">
        <v>1308</v>
      </c>
      <c r="E623" s="6" t="s">
        <v>69</v>
      </c>
      <c r="F623" s="21">
        <v>11</v>
      </c>
      <c r="G623" s="23">
        <v>131</v>
      </c>
      <c r="H623" s="23">
        <v>25.7</v>
      </c>
      <c r="I623" s="23">
        <v>15</v>
      </c>
    </row>
    <row r="624" spans="1:9" ht="17">
      <c r="A624" s="6" t="s">
        <v>1309</v>
      </c>
      <c r="B624" s="6" t="s">
        <v>29</v>
      </c>
      <c r="C624" s="6">
        <v>20</v>
      </c>
      <c r="D624" s="6" t="s">
        <v>1310</v>
      </c>
      <c r="E624" s="6" t="s">
        <v>69</v>
      </c>
      <c r="F624" s="21">
        <v>11</v>
      </c>
      <c r="G624" s="23">
        <v>149</v>
      </c>
      <c r="H624" s="23">
        <v>42.8</v>
      </c>
      <c r="I624" s="23">
        <v>19.3</v>
      </c>
    </row>
    <row r="625" spans="1:9" ht="17">
      <c r="A625" s="6" t="s">
        <v>1311</v>
      </c>
      <c r="B625" s="6" t="s">
        <v>29</v>
      </c>
      <c r="C625" s="6">
        <v>21</v>
      </c>
      <c r="D625" s="6" t="s">
        <v>1312</v>
      </c>
      <c r="E625" s="6" t="s">
        <v>69</v>
      </c>
      <c r="F625" s="21">
        <v>11</v>
      </c>
      <c r="G625" s="23">
        <v>138</v>
      </c>
      <c r="H625" s="23">
        <v>30.1</v>
      </c>
      <c r="I625" s="23">
        <v>15.8</v>
      </c>
    </row>
    <row r="626" spans="1:9" ht="17">
      <c r="A626" s="6" t="s">
        <v>1313</v>
      </c>
      <c r="B626" s="6" t="s">
        <v>29</v>
      </c>
      <c r="C626" s="6">
        <v>22</v>
      </c>
      <c r="D626" s="6" t="s">
        <v>1314</v>
      </c>
      <c r="E626" s="6" t="s">
        <v>69</v>
      </c>
      <c r="F626" s="21">
        <v>11</v>
      </c>
      <c r="G626" s="23">
        <v>154</v>
      </c>
      <c r="H626" s="23">
        <v>53.8</v>
      </c>
      <c r="I626" s="23">
        <v>22.7</v>
      </c>
    </row>
    <row r="627" spans="1:9" ht="17">
      <c r="A627" s="6" t="s">
        <v>1315</v>
      </c>
      <c r="B627" s="6" t="s">
        <v>29</v>
      </c>
      <c r="C627" s="6">
        <v>23</v>
      </c>
      <c r="D627" s="6" t="s">
        <v>1316</v>
      </c>
      <c r="E627" s="6" t="s">
        <v>69</v>
      </c>
      <c r="F627" s="21">
        <v>11</v>
      </c>
      <c r="G627" s="23">
        <v>154</v>
      </c>
      <c r="H627" s="23">
        <v>36.5</v>
      </c>
      <c r="I627" s="23">
        <v>15.4</v>
      </c>
    </row>
    <row r="628" spans="1:9" ht="17">
      <c r="A628" s="6" t="s">
        <v>1317</v>
      </c>
      <c r="B628" s="6" t="s">
        <v>29</v>
      </c>
      <c r="C628" s="6">
        <v>24</v>
      </c>
      <c r="D628" s="6" t="s">
        <v>1318</v>
      </c>
      <c r="E628" s="6" t="s">
        <v>69</v>
      </c>
      <c r="F628" s="21">
        <v>11</v>
      </c>
      <c r="G628" s="23">
        <v>152</v>
      </c>
      <c r="H628" s="23">
        <v>58.1</v>
      </c>
      <c r="I628" s="23">
        <v>25.1</v>
      </c>
    </row>
    <row r="629" spans="1:9" ht="17">
      <c r="A629" s="6" t="s">
        <v>1319</v>
      </c>
      <c r="B629" s="6" t="s">
        <v>29</v>
      </c>
      <c r="C629" s="6">
        <v>25</v>
      </c>
      <c r="D629" s="6" t="s">
        <v>1320</v>
      </c>
      <c r="E629" s="6" t="s">
        <v>72</v>
      </c>
      <c r="F629" s="21">
        <v>11</v>
      </c>
      <c r="G629" s="23">
        <v>143</v>
      </c>
      <c r="H629" s="23">
        <v>34.1</v>
      </c>
      <c r="I629" s="23">
        <v>16.7</v>
      </c>
    </row>
    <row r="630" spans="1:9" ht="17">
      <c r="A630" s="6" t="s">
        <v>1321</v>
      </c>
      <c r="B630" s="6" t="s">
        <v>29</v>
      </c>
      <c r="C630" s="6">
        <v>26</v>
      </c>
      <c r="D630" s="6" t="s">
        <v>1322</v>
      </c>
      <c r="E630" s="6" t="s">
        <v>72</v>
      </c>
      <c r="F630" s="21">
        <v>11</v>
      </c>
      <c r="G630" s="23">
        <v>150</v>
      </c>
      <c r="H630" s="23">
        <v>46.1</v>
      </c>
      <c r="I630" s="23">
        <v>20.5</v>
      </c>
    </row>
    <row r="631" spans="1:9" ht="17">
      <c r="A631" s="6" t="s">
        <v>1323</v>
      </c>
      <c r="B631" s="6" t="s">
        <v>29</v>
      </c>
      <c r="C631" s="6">
        <v>27</v>
      </c>
      <c r="D631" s="6" t="s">
        <v>1324</v>
      </c>
      <c r="E631" s="6" t="s">
        <v>69</v>
      </c>
      <c r="F631" s="21">
        <v>10</v>
      </c>
      <c r="G631" s="23">
        <v>150.5</v>
      </c>
      <c r="H631" s="23">
        <v>37.200000000000003</v>
      </c>
      <c r="I631" s="23">
        <v>16.399999999999999</v>
      </c>
    </row>
    <row r="632" spans="1:9" ht="17">
      <c r="A632" s="6" t="s">
        <v>1325</v>
      </c>
      <c r="B632" s="6" t="s">
        <v>29</v>
      </c>
      <c r="C632" s="6">
        <v>28</v>
      </c>
      <c r="D632" s="6" t="s">
        <v>1326</v>
      </c>
      <c r="E632" s="6" t="s">
        <v>69</v>
      </c>
      <c r="F632" s="21">
        <v>11</v>
      </c>
      <c r="G632" s="23">
        <v>150</v>
      </c>
      <c r="H632" s="23">
        <v>38.4</v>
      </c>
      <c r="I632" s="23">
        <v>17.100000000000001</v>
      </c>
    </row>
    <row r="633" spans="1:9" ht="17">
      <c r="A633" s="6" t="s">
        <v>1327</v>
      </c>
      <c r="B633" s="6" t="s">
        <v>29</v>
      </c>
      <c r="C633" s="6">
        <v>29</v>
      </c>
      <c r="D633" s="6" t="s">
        <v>1328</v>
      </c>
      <c r="E633" s="6" t="s">
        <v>69</v>
      </c>
      <c r="F633" s="21">
        <v>10</v>
      </c>
      <c r="G633" s="23">
        <v>142</v>
      </c>
      <c r="H633" s="23">
        <v>32.299999999999997</v>
      </c>
      <c r="I633" s="23">
        <v>16</v>
      </c>
    </row>
    <row r="634" spans="1:9" ht="17">
      <c r="A634" s="6" t="s">
        <v>1329</v>
      </c>
      <c r="B634" s="6" t="s">
        <v>29</v>
      </c>
      <c r="C634" s="6">
        <v>30</v>
      </c>
      <c r="D634" s="6" t="s">
        <v>1330</v>
      </c>
      <c r="E634" s="6" t="s">
        <v>72</v>
      </c>
      <c r="F634" s="21">
        <v>11</v>
      </c>
      <c r="G634" s="23">
        <v>157.5</v>
      </c>
      <c r="H634" s="23">
        <v>43.4</v>
      </c>
      <c r="I634" s="23">
        <v>17.5</v>
      </c>
    </row>
    <row r="635" spans="1:9" ht="17">
      <c r="A635" s="6" t="s">
        <v>1331</v>
      </c>
      <c r="B635" s="6" t="s">
        <v>29</v>
      </c>
      <c r="C635" s="6">
        <v>31</v>
      </c>
      <c r="D635" s="6" t="s">
        <v>1332</v>
      </c>
      <c r="E635" s="6" t="s">
        <v>69</v>
      </c>
      <c r="F635" s="21">
        <v>11</v>
      </c>
      <c r="G635" s="23">
        <v>152.5</v>
      </c>
      <c r="H635" s="23">
        <v>41.7</v>
      </c>
      <c r="I635" s="23">
        <v>17.899999999999999</v>
      </c>
    </row>
    <row r="636" spans="1:9" ht="17">
      <c r="A636" s="6" t="s">
        <v>1333</v>
      </c>
      <c r="B636" s="6" t="s">
        <v>29</v>
      </c>
      <c r="C636" s="6">
        <v>32</v>
      </c>
      <c r="D636" s="6" t="s">
        <v>1334</v>
      </c>
      <c r="E636" s="6" t="s">
        <v>69</v>
      </c>
      <c r="F636" s="21">
        <v>11</v>
      </c>
      <c r="G636" s="23">
        <v>148.5</v>
      </c>
      <c r="H636" s="23">
        <v>31</v>
      </c>
      <c r="I636" s="23">
        <v>14.1</v>
      </c>
    </row>
    <row r="637" spans="1:9" ht="17">
      <c r="A637" s="6" t="s">
        <v>1827</v>
      </c>
      <c r="B637" s="6" t="s">
        <v>1440</v>
      </c>
      <c r="C637" s="6">
        <v>1</v>
      </c>
      <c r="D637" s="6" t="s">
        <v>1441</v>
      </c>
      <c r="E637" s="6" t="s">
        <v>72</v>
      </c>
      <c r="F637" s="21">
        <v>6</v>
      </c>
      <c r="G637" s="23">
        <v>124.5</v>
      </c>
      <c r="H637" s="23">
        <v>22</v>
      </c>
      <c r="I637" s="23">
        <v>14.193319462589313</v>
      </c>
    </row>
    <row r="638" spans="1:9" ht="17">
      <c r="A638" s="6" t="s">
        <v>1828</v>
      </c>
      <c r="B638" s="6" t="s">
        <v>1440</v>
      </c>
      <c r="C638" s="6">
        <v>2</v>
      </c>
      <c r="D638" s="6" t="s">
        <v>1442</v>
      </c>
      <c r="E638" s="6" t="s">
        <v>69</v>
      </c>
      <c r="F638" s="21">
        <v>6</v>
      </c>
      <c r="G638" s="23">
        <v>115</v>
      </c>
      <c r="H638" s="23">
        <v>18.7</v>
      </c>
      <c r="I638" s="23">
        <v>14.139886578449905</v>
      </c>
    </row>
    <row r="639" spans="1:9" ht="17">
      <c r="A639" s="6" t="s">
        <v>1829</v>
      </c>
      <c r="B639" s="6" t="s">
        <v>1440</v>
      </c>
      <c r="C639" s="6">
        <v>3</v>
      </c>
      <c r="D639" s="6" t="s">
        <v>1443</v>
      </c>
      <c r="E639" s="6" t="s">
        <v>72</v>
      </c>
      <c r="F639" s="21">
        <v>6</v>
      </c>
      <c r="G639" s="23">
        <v>124</v>
      </c>
      <c r="H639" s="23">
        <v>28.6</v>
      </c>
      <c r="I639" s="23">
        <v>18.600416233090531</v>
      </c>
    </row>
    <row r="640" spans="1:9" ht="17">
      <c r="A640" s="6" t="s">
        <v>1830</v>
      </c>
      <c r="B640" s="6" t="s">
        <v>1440</v>
      </c>
      <c r="C640" s="6">
        <v>4</v>
      </c>
      <c r="D640" s="6" t="s">
        <v>1444</v>
      </c>
      <c r="E640" s="6" t="s">
        <v>72</v>
      </c>
      <c r="F640" s="21">
        <v>6</v>
      </c>
      <c r="G640" s="23">
        <v>123.5</v>
      </c>
      <c r="H640" s="23">
        <v>25.1</v>
      </c>
      <c r="I640" s="23">
        <v>16.456588372207381</v>
      </c>
    </row>
    <row r="641" spans="1:9" ht="17">
      <c r="A641" s="6" t="s">
        <v>1831</v>
      </c>
      <c r="B641" s="6" t="s">
        <v>1440</v>
      </c>
      <c r="C641" s="6">
        <v>5</v>
      </c>
      <c r="D641" s="6" t="s">
        <v>1445</v>
      </c>
      <c r="E641" s="6" t="s">
        <v>69</v>
      </c>
      <c r="F641" s="21">
        <v>6</v>
      </c>
      <c r="G641" s="23">
        <v>119</v>
      </c>
      <c r="H641" s="23">
        <v>21.3</v>
      </c>
      <c r="I641" s="23">
        <v>15.041310641903822</v>
      </c>
    </row>
    <row r="642" spans="1:9" ht="17">
      <c r="A642" s="6" t="s">
        <v>1832</v>
      </c>
      <c r="B642" s="6" t="s">
        <v>1440</v>
      </c>
      <c r="C642" s="6">
        <v>6</v>
      </c>
      <c r="D642" s="6" t="s">
        <v>1446</v>
      </c>
      <c r="E642" s="6" t="s">
        <v>69</v>
      </c>
      <c r="F642" s="21">
        <v>6</v>
      </c>
      <c r="G642" s="23">
        <v>113</v>
      </c>
      <c r="H642" s="23">
        <v>18.3</v>
      </c>
      <c r="I642" s="23">
        <v>14.331584305740467</v>
      </c>
    </row>
    <row r="643" spans="1:9" ht="17">
      <c r="A643" s="6" t="s">
        <v>1833</v>
      </c>
      <c r="B643" s="6" t="s">
        <v>1440</v>
      </c>
      <c r="C643" s="6">
        <v>7</v>
      </c>
      <c r="D643" s="6" t="s">
        <v>1447</v>
      </c>
      <c r="E643" s="6" t="s">
        <v>69</v>
      </c>
      <c r="F643" s="21">
        <v>5</v>
      </c>
      <c r="G643" s="23">
        <v>116</v>
      </c>
      <c r="H643" s="23">
        <v>19.5</v>
      </c>
      <c r="I643" s="23">
        <v>14.491676575505352</v>
      </c>
    </row>
    <row r="644" spans="1:9" ht="17">
      <c r="A644" s="6" t="s">
        <v>1834</v>
      </c>
      <c r="B644" s="6" t="s">
        <v>1440</v>
      </c>
      <c r="C644" s="6">
        <v>8</v>
      </c>
      <c r="D644" s="6" t="s">
        <v>1448</v>
      </c>
      <c r="E644" s="6" t="s">
        <v>69</v>
      </c>
      <c r="F644" s="21">
        <v>6</v>
      </c>
      <c r="G644" s="23">
        <v>112.5</v>
      </c>
      <c r="H644" s="23">
        <v>20.100000000000001</v>
      </c>
      <c r="I644" s="23">
        <v>15.881481481481483</v>
      </c>
    </row>
    <row r="645" spans="1:9" ht="17">
      <c r="A645" s="6" t="s">
        <v>1835</v>
      </c>
      <c r="B645" s="6" t="s">
        <v>1440</v>
      </c>
      <c r="C645" s="6">
        <v>9</v>
      </c>
      <c r="D645" s="6" t="s">
        <v>1449</v>
      </c>
      <c r="E645" s="6" t="s">
        <v>72</v>
      </c>
      <c r="F645" s="21">
        <v>5</v>
      </c>
      <c r="G645" s="23">
        <v>112.5</v>
      </c>
      <c r="H645" s="23">
        <v>19.3</v>
      </c>
      <c r="I645" s="23">
        <v>15.249382716049384</v>
      </c>
    </row>
    <row r="646" spans="1:9" ht="17">
      <c r="A646" s="6" t="s">
        <v>1836</v>
      </c>
      <c r="B646" s="6" t="s">
        <v>1440</v>
      </c>
      <c r="C646" s="6">
        <v>10</v>
      </c>
      <c r="D646" s="6" t="s">
        <v>1450</v>
      </c>
      <c r="E646" s="6" t="s">
        <v>69</v>
      </c>
      <c r="F646" s="21">
        <v>6</v>
      </c>
      <c r="G646" s="23">
        <v>120.5</v>
      </c>
      <c r="H646" s="23">
        <v>22.7</v>
      </c>
      <c r="I646" s="23">
        <v>15.633339646355951</v>
      </c>
    </row>
    <row r="647" spans="1:9" ht="17">
      <c r="A647" s="6" t="s">
        <v>1837</v>
      </c>
      <c r="B647" s="6" t="s">
        <v>1440</v>
      </c>
      <c r="C647" s="6">
        <v>11</v>
      </c>
      <c r="D647" s="6" t="s">
        <v>1451</v>
      </c>
      <c r="E647" s="6" t="s">
        <v>69</v>
      </c>
      <c r="F647" s="21">
        <v>6</v>
      </c>
      <c r="G647" s="23">
        <v>119</v>
      </c>
      <c r="H647" s="23">
        <v>19.399999999999999</v>
      </c>
      <c r="I647" s="23">
        <v>13.699597486053245</v>
      </c>
    </row>
    <row r="648" spans="1:9" ht="17">
      <c r="A648" s="6" t="s">
        <v>1838</v>
      </c>
      <c r="B648" s="6" t="s">
        <v>1440</v>
      </c>
      <c r="C648" s="6">
        <v>12</v>
      </c>
      <c r="D648" s="6" t="s">
        <v>1452</v>
      </c>
      <c r="E648" s="6" t="s">
        <v>72</v>
      </c>
      <c r="F648" s="21">
        <v>6</v>
      </c>
      <c r="G648" s="23">
        <v>112</v>
      </c>
      <c r="H648" s="23">
        <v>17.8</v>
      </c>
      <c r="I648" s="23">
        <v>14.190051020408164</v>
      </c>
    </row>
    <row r="649" spans="1:9" ht="17">
      <c r="A649" s="6" t="s">
        <v>1839</v>
      </c>
      <c r="B649" s="6" t="s">
        <v>1440</v>
      </c>
      <c r="C649" s="6">
        <v>13</v>
      </c>
      <c r="D649" s="6" t="s">
        <v>1453</v>
      </c>
      <c r="E649" s="6" t="s">
        <v>69</v>
      </c>
      <c r="F649" s="21">
        <v>6</v>
      </c>
      <c r="G649" s="23">
        <v>119.5</v>
      </c>
      <c r="H649" s="23">
        <v>17.899999999999999</v>
      </c>
      <c r="I649" s="23">
        <v>12.534794558918785</v>
      </c>
    </row>
    <row r="650" spans="1:9" ht="17">
      <c r="A650" s="6" t="s">
        <v>1840</v>
      </c>
      <c r="B650" s="6" t="s">
        <v>1440</v>
      </c>
      <c r="C650" s="6">
        <v>14</v>
      </c>
      <c r="D650" s="6" t="s">
        <v>1454</v>
      </c>
      <c r="E650" s="6" t="s">
        <v>72</v>
      </c>
      <c r="F650" s="21">
        <v>6</v>
      </c>
      <c r="G650" s="23">
        <v>118.5</v>
      </c>
      <c r="H650" s="23">
        <v>20.2</v>
      </c>
      <c r="I650" s="23">
        <v>14.385159073510298</v>
      </c>
    </row>
    <row r="651" spans="1:9" ht="17">
      <c r="A651" s="6" t="s">
        <v>1841</v>
      </c>
      <c r="B651" s="6" t="s">
        <v>1440</v>
      </c>
      <c r="C651" s="6">
        <v>15</v>
      </c>
      <c r="D651" s="6" t="s">
        <v>1455</v>
      </c>
      <c r="E651" s="6" t="s">
        <v>69</v>
      </c>
      <c r="F651" s="21">
        <v>6</v>
      </c>
      <c r="G651" s="23">
        <v>127.5</v>
      </c>
      <c r="H651" s="23">
        <v>27.4</v>
      </c>
      <c r="I651" s="23">
        <v>16.855055747789311</v>
      </c>
    </row>
    <row r="652" spans="1:9" ht="17">
      <c r="A652" s="6" t="s">
        <v>1842</v>
      </c>
      <c r="B652" s="6" t="s">
        <v>1440</v>
      </c>
      <c r="C652" s="6">
        <v>16</v>
      </c>
      <c r="D652" s="6" t="s">
        <v>1456</v>
      </c>
      <c r="E652" s="6" t="s">
        <v>72</v>
      </c>
      <c r="F652" s="21">
        <v>6</v>
      </c>
      <c r="G652" s="23">
        <v>116</v>
      </c>
      <c r="H652" s="23">
        <v>21.2</v>
      </c>
      <c r="I652" s="23">
        <v>15.755053507728896</v>
      </c>
    </row>
    <row r="653" spans="1:9" ht="17">
      <c r="A653" s="6" t="s">
        <v>1843</v>
      </c>
      <c r="B653" s="6" t="s">
        <v>1440</v>
      </c>
      <c r="C653" s="6">
        <v>17</v>
      </c>
      <c r="D653" s="6" t="s">
        <v>1457</v>
      </c>
      <c r="E653" s="6" t="s">
        <v>72</v>
      </c>
      <c r="F653" s="21">
        <v>6</v>
      </c>
      <c r="G653" s="23">
        <v>120.5</v>
      </c>
      <c r="H653" s="23">
        <v>25.8</v>
      </c>
      <c r="I653" s="23">
        <v>17.768289113479454</v>
      </c>
    </row>
    <row r="654" spans="1:9" ht="17">
      <c r="A654" s="6" t="s">
        <v>1844</v>
      </c>
      <c r="B654" s="6" t="s">
        <v>1440</v>
      </c>
      <c r="C654" s="6">
        <v>18</v>
      </c>
      <c r="D654" s="6" t="s">
        <v>1458</v>
      </c>
      <c r="E654" s="6" t="s">
        <v>72</v>
      </c>
      <c r="F654" s="21">
        <v>5</v>
      </c>
      <c r="G654" s="23">
        <v>113</v>
      </c>
      <c r="H654" s="23">
        <v>21.6</v>
      </c>
      <c r="I654" s="23">
        <v>16.915968360873993</v>
      </c>
    </row>
    <row r="655" spans="1:9" ht="17">
      <c r="A655" s="6" t="s">
        <v>1845</v>
      </c>
      <c r="B655" s="6" t="s">
        <v>1440</v>
      </c>
      <c r="C655" s="6">
        <v>19</v>
      </c>
      <c r="D655" s="6" t="s">
        <v>1459</v>
      </c>
      <c r="E655" s="6" t="s">
        <v>72</v>
      </c>
      <c r="F655" s="21">
        <v>5</v>
      </c>
      <c r="G655" s="23">
        <v>124.5</v>
      </c>
      <c r="H655" s="23">
        <v>20.8</v>
      </c>
      <c r="I655" s="23">
        <v>13.419138400993534</v>
      </c>
    </row>
    <row r="656" spans="1:9" ht="17">
      <c r="A656" s="6" t="s">
        <v>1846</v>
      </c>
      <c r="B656" s="6" t="s">
        <v>1440</v>
      </c>
      <c r="C656" s="6">
        <v>20</v>
      </c>
      <c r="D656" s="6" t="s">
        <v>1460</v>
      </c>
      <c r="E656" s="6" t="s">
        <v>69</v>
      </c>
      <c r="F656" s="21">
        <v>6</v>
      </c>
      <c r="G656" s="23">
        <v>112</v>
      </c>
      <c r="H656" s="23">
        <v>16.5</v>
      </c>
      <c r="I656" s="23">
        <v>13.153698979591837</v>
      </c>
    </row>
    <row r="657" spans="1:9" ht="17">
      <c r="A657" s="6" t="s">
        <v>1847</v>
      </c>
      <c r="B657" s="6" t="s">
        <v>1440</v>
      </c>
      <c r="C657" s="6">
        <v>21</v>
      </c>
      <c r="D657" s="6" t="s">
        <v>1461</v>
      </c>
      <c r="E657" s="6" t="s">
        <v>69</v>
      </c>
      <c r="F657" s="21">
        <v>5</v>
      </c>
      <c r="G657" s="23">
        <v>110.5</v>
      </c>
      <c r="H657" s="23">
        <v>20.3</v>
      </c>
      <c r="I657" s="23">
        <v>16.625376220798099</v>
      </c>
    </row>
    <row r="658" spans="1:9" ht="17">
      <c r="A658" s="6" t="s">
        <v>1848</v>
      </c>
      <c r="B658" s="6" t="s">
        <v>1440</v>
      </c>
      <c r="C658" s="6">
        <v>22</v>
      </c>
      <c r="D658" s="6" t="s">
        <v>1462</v>
      </c>
      <c r="E658" s="6" t="s">
        <v>69</v>
      </c>
      <c r="F658" s="21">
        <v>6</v>
      </c>
      <c r="G658" s="23">
        <v>119</v>
      </c>
      <c r="H658" s="23">
        <v>20.100000000000001</v>
      </c>
      <c r="I658" s="23">
        <v>14.193912859261353</v>
      </c>
    </row>
    <row r="659" spans="1:9" ht="17">
      <c r="A659" s="6" t="s">
        <v>1849</v>
      </c>
      <c r="B659" s="6" t="s">
        <v>1440</v>
      </c>
      <c r="C659" s="6">
        <v>23</v>
      </c>
      <c r="D659" s="6" t="s">
        <v>1463</v>
      </c>
      <c r="E659" s="6" t="s">
        <v>69</v>
      </c>
      <c r="F659" s="21">
        <v>6</v>
      </c>
      <c r="G659" s="23">
        <v>114.5</v>
      </c>
      <c r="H659" s="23">
        <v>17.2</v>
      </c>
      <c r="I659" s="23">
        <v>13.11950573024923</v>
      </c>
    </row>
    <row r="660" spans="1:9" ht="17">
      <c r="A660" s="6" t="s">
        <v>1850</v>
      </c>
      <c r="B660" s="6" t="s">
        <v>1440</v>
      </c>
      <c r="C660" s="6">
        <v>24</v>
      </c>
      <c r="D660" s="6" t="s">
        <v>1464</v>
      </c>
      <c r="E660" s="6" t="s">
        <v>69</v>
      </c>
      <c r="F660" s="21">
        <v>5</v>
      </c>
      <c r="G660" s="23">
        <v>114.5</v>
      </c>
      <c r="H660" s="23">
        <v>18.2</v>
      </c>
      <c r="I660" s="23">
        <v>13.882267691310233</v>
      </c>
    </row>
    <row r="661" spans="1:9" ht="17">
      <c r="A661" s="6" t="s">
        <v>1851</v>
      </c>
      <c r="B661" s="6" t="s">
        <v>1440</v>
      </c>
      <c r="C661" s="6">
        <v>25</v>
      </c>
      <c r="D661" s="6" t="s">
        <v>1465</v>
      </c>
      <c r="E661" s="6" t="s">
        <v>72</v>
      </c>
      <c r="F661" s="21">
        <v>6</v>
      </c>
      <c r="G661" s="23">
        <v>117</v>
      </c>
      <c r="H661" s="23">
        <v>18.7</v>
      </c>
      <c r="I661" s="23">
        <v>13.660603404193147</v>
      </c>
    </row>
    <row r="662" spans="1:9" ht="17">
      <c r="A662" s="6" t="s">
        <v>1852</v>
      </c>
      <c r="B662" s="6" t="s">
        <v>1440</v>
      </c>
      <c r="C662" s="6">
        <v>26</v>
      </c>
      <c r="D662" s="6" t="s">
        <v>1466</v>
      </c>
      <c r="E662" s="6" t="s">
        <v>69</v>
      </c>
      <c r="F662" s="21">
        <v>6</v>
      </c>
      <c r="G662" s="23">
        <v>122.5</v>
      </c>
      <c r="H662" s="23">
        <v>21.2</v>
      </c>
      <c r="I662" s="23">
        <v>14.127446897126196</v>
      </c>
    </row>
    <row r="663" spans="1:9" ht="17">
      <c r="A663" s="6" t="s">
        <v>1853</v>
      </c>
      <c r="B663" s="6" t="s">
        <v>1440</v>
      </c>
      <c r="C663" s="6">
        <v>27</v>
      </c>
      <c r="D663" s="6" t="s">
        <v>1467</v>
      </c>
      <c r="E663" s="6" t="s">
        <v>69</v>
      </c>
      <c r="F663" s="21">
        <v>6</v>
      </c>
      <c r="G663" s="23">
        <v>120.5</v>
      </c>
      <c r="H663" s="23">
        <v>21</v>
      </c>
      <c r="I663" s="23">
        <v>14.462560906320485</v>
      </c>
    </row>
    <row r="664" spans="1:9" ht="17">
      <c r="A664" s="6" t="s">
        <v>1854</v>
      </c>
      <c r="B664" s="6" t="s">
        <v>1440</v>
      </c>
      <c r="C664" s="6">
        <v>28</v>
      </c>
      <c r="D664" s="6" t="s">
        <v>1468</v>
      </c>
      <c r="E664" s="6" t="s">
        <v>69</v>
      </c>
      <c r="F664" s="21">
        <v>6</v>
      </c>
      <c r="G664" s="23">
        <v>126.5</v>
      </c>
      <c r="H664" s="23">
        <v>29.4</v>
      </c>
      <c r="I664" s="23">
        <v>18.37241637894671</v>
      </c>
    </row>
    <row r="665" spans="1:9" ht="17">
      <c r="A665" s="6" t="s">
        <v>1855</v>
      </c>
      <c r="B665" s="6" t="s">
        <v>1440</v>
      </c>
      <c r="C665" s="6">
        <v>29</v>
      </c>
      <c r="D665" s="6" t="s">
        <v>1469</v>
      </c>
      <c r="E665" s="6" t="s">
        <v>72</v>
      </c>
      <c r="F665" s="21">
        <v>6</v>
      </c>
      <c r="G665" s="23">
        <v>118</v>
      </c>
      <c r="H665" s="23">
        <v>18.7</v>
      </c>
      <c r="I665" s="23">
        <v>13.430048836541223</v>
      </c>
    </row>
    <row r="666" spans="1:9" ht="17">
      <c r="A666" s="6" t="s">
        <v>1856</v>
      </c>
      <c r="B666" s="6" t="s">
        <v>1440</v>
      </c>
      <c r="C666" s="6">
        <v>30</v>
      </c>
      <c r="D666" s="6" t="s">
        <v>1470</v>
      </c>
      <c r="E666" s="6" t="s">
        <v>69</v>
      </c>
      <c r="F666" s="21">
        <v>6</v>
      </c>
      <c r="G666" s="23">
        <v>126</v>
      </c>
      <c r="H666" s="23">
        <v>28.2</v>
      </c>
      <c r="I666" s="23">
        <v>17.762660619803476</v>
      </c>
    </row>
    <row r="667" spans="1:9" ht="17">
      <c r="A667" s="6" t="s">
        <v>1857</v>
      </c>
      <c r="B667" s="6" t="s">
        <v>1471</v>
      </c>
      <c r="C667" s="6">
        <v>1</v>
      </c>
      <c r="D667" s="6" t="s">
        <v>1472</v>
      </c>
      <c r="E667" s="6" t="s">
        <v>69</v>
      </c>
      <c r="F667" s="21">
        <v>6</v>
      </c>
      <c r="G667" s="23">
        <v>121.5</v>
      </c>
      <c r="H667" s="23">
        <v>22.1</v>
      </c>
      <c r="I667" s="23">
        <v>14.970617622652375</v>
      </c>
    </row>
    <row r="668" spans="1:9" ht="17">
      <c r="A668" s="6" t="s">
        <v>1858</v>
      </c>
      <c r="B668" s="6" t="s">
        <v>1471</v>
      </c>
      <c r="C668" s="6">
        <v>2</v>
      </c>
      <c r="D668" s="6" t="s">
        <v>1473</v>
      </c>
      <c r="E668" s="6" t="s">
        <v>72</v>
      </c>
      <c r="F668" s="21">
        <v>6</v>
      </c>
      <c r="G668" s="23">
        <v>124.5</v>
      </c>
      <c r="H668" s="23">
        <v>21.5</v>
      </c>
      <c r="I668" s="23">
        <v>13.870744020257739</v>
      </c>
    </row>
    <row r="669" spans="1:9" ht="17">
      <c r="A669" s="6" t="s">
        <v>1859</v>
      </c>
      <c r="B669" s="6" t="s">
        <v>1471</v>
      </c>
      <c r="C669" s="6">
        <v>3</v>
      </c>
      <c r="D669" s="6" t="s">
        <v>1474</v>
      </c>
      <c r="E669" s="6" t="s">
        <v>72</v>
      </c>
      <c r="F669" s="21">
        <v>6</v>
      </c>
      <c r="G669" s="23">
        <v>115</v>
      </c>
      <c r="H669" s="23">
        <v>18.2</v>
      </c>
      <c r="I669" s="23">
        <v>13.761814744801512</v>
      </c>
    </row>
    <row r="670" spans="1:9" ht="17">
      <c r="A670" s="6" t="s">
        <v>1860</v>
      </c>
      <c r="B670" s="6" t="s">
        <v>1471</v>
      </c>
      <c r="C670" s="6">
        <v>4</v>
      </c>
      <c r="D670" s="6" t="s">
        <v>1475</v>
      </c>
      <c r="E670" s="6" t="s">
        <v>69</v>
      </c>
      <c r="F670" s="21">
        <v>6</v>
      </c>
      <c r="G670" s="23">
        <v>115</v>
      </c>
      <c r="H670" s="23">
        <v>18</v>
      </c>
      <c r="I670" s="23">
        <v>13.610586011342155</v>
      </c>
    </row>
    <row r="671" spans="1:9" ht="17">
      <c r="A671" s="6" t="s">
        <v>1861</v>
      </c>
      <c r="B671" s="6" t="s">
        <v>1471</v>
      </c>
      <c r="C671" s="6">
        <v>5</v>
      </c>
      <c r="D671" s="6" t="s">
        <v>1476</v>
      </c>
      <c r="E671" s="6" t="s">
        <v>69</v>
      </c>
      <c r="F671" s="21">
        <v>6</v>
      </c>
      <c r="G671" s="23">
        <v>114.5</v>
      </c>
      <c r="H671" s="23">
        <v>18.399999999999999</v>
      </c>
      <c r="I671" s="23">
        <v>14.034820083522433</v>
      </c>
    </row>
    <row r="672" spans="1:9" ht="17">
      <c r="A672" s="6" t="s">
        <v>1862</v>
      </c>
      <c r="B672" s="6" t="s">
        <v>1471</v>
      </c>
      <c r="C672" s="6">
        <v>6</v>
      </c>
      <c r="D672" s="6" t="s">
        <v>1477</v>
      </c>
      <c r="E672" s="6" t="s">
        <v>69</v>
      </c>
      <c r="F672" s="21">
        <v>6</v>
      </c>
      <c r="G672" s="23">
        <v>113</v>
      </c>
      <c r="H672" s="23">
        <v>18.3</v>
      </c>
      <c r="I672" s="23">
        <v>14.331584305740467</v>
      </c>
    </row>
    <row r="673" spans="1:9" ht="17">
      <c r="A673" s="6" t="s">
        <v>1863</v>
      </c>
      <c r="B673" s="6" t="s">
        <v>1471</v>
      </c>
      <c r="C673" s="6">
        <v>7</v>
      </c>
      <c r="D673" s="6" t="s">
        <v>1478</v>
      </c>
      <c r="E673" s="6" t="s">
        <v>72</v>
      </c>
      <c r="F673" s="21">
        <v>5</v>
      </c>
      <c r="G673" s="23">
        <v>128</v>
      </c>
      <c r="H673" s="23">
        <v>26</v>
      </c>
      <c r="I673" s="23">
        <v>15.869140625</v>
      </c>
    </row>
    <row r="674" spans="1:9" ht="17">
      <c r="A674" s="6" t="s">
        <v>1864</v>
      </c>
      <c r="B674" s="6" t="s">
        <v>1471</v>
      </c>
      <c r="C674" s="6">
        <v>8</v>
      </c>
      <c r="D674" s="6" t="s">
        <v>1479</v>
      </c>
      <c r="E674" s="6" t="s">
        <v>69</v>
      </c>
      <c r="F674" s="21">
        <v>6</v>
      </c>
      <c r="G674" s="23">
        <v>113</v>
      </c>
      <c r="H674" s="23">
        <v>18.899999999999999</v>
      </c>
      <c r="I674" s="23">
        <v>14.801472315764743</v>
      </c>
    </row>
    <row r="675" spans="1:9" ht="17">
      <c r="A675" s="6" t="s">
        <v>1865</v>
      </c>
      <c r="B675" s="6" t="s">
        <v>1471</v>
      </c>
      <c r="C675" s="6">
        <v>9</v>
      </c>
      <c r="D675" s="6" t="s">
        <v>1480</v>
      </c>
      <c r="E675" s="6" t="s">
        <v>72</v>
      </c>
      <c r="F675" s="21">
        <v>6</v>
      </c>
      <c r="G675" s="23">
        <v>120</v>
      </c>
      <c r="H675" s="23">
        <v>21.6</v>
      </c>
      <c r="I675" s="23">
        <v>15.000000000000002</v>
      </c>
    </row>
    <row r="676" spans="1:9" ht="17">
      <c r="A676" s="6" t="s">
        <v>1866</v>
      </c>
      <c r="B676" s="6" t="s">
        <v>1471</v>
      </c>
      <c r="C676" s="6">
        <v>10</v>
      </c>
      <c r="D676" s="6" t="s">
        <v>1481</v>
      </c>
      <c r="E676" s="6" t="s">
        <v>69</v>
      </c>
      <c r="F676" s="21">
        <v>6</v>
      </c>
      <c r="G676" s="23">
        <v>123.5</v>
      </c>
      <c r="H676" s="23">
        <v>21.1</v>
      </c>
      <c r="I676" s="23">
        <v>13.834024488190268</v>
      </c>
    </row>
    <row r="677" spans="1:9" ht="17">
      <c r="A677" s="6" t="s">
        <v>1867</v>
      </c>
      <c r="B677" s="6" t="s">
        <v>1471</v>
      </c>
      <c r="C677" s="6">
        <v>11</v>
      </c>
      <c r="D677" s="6" t="s">
        <v>1482</v>
      </c>
      <c r="E677" s="6" t="s">
        <v>69</v>
      </c>
      <c r="F677" s="21">
        <v>6</v>
      </c>
      <c r="G677" s="23">
        <v>120.5</v>
      </c>
      <c r="H677" s="23">
        <v>20.399999999999999</v>
      </c>
      <c r="I677" s="23">
        <v>14.049344880425613</v>
      </c>
    </row>
    <row r="678" spans="1:9" ht="17">
      <c r="A678" s="6" t="s">
        <v>1868</v>
      </c>
      <c r="B678" s="6" t="s">
        <v>1471</v>
      </c>
      <c r="C678" s="6">
        <v>12</v>
      </c>
      <c r="D678" s="6" t="s">
        <v>1483</v>
      </c>
      <c r="E678" s="6" t="s">
        <v>69</v>
      </c>
      <c r="F678" s="21">
        <v>6</v>
      </c>
      <c r="G678" s="23">
        <v>114</v>
      </c>
      <c r="H678" s="23">
        <v>18.7</v>
      </c>
      <c r="I678" s="23">
        <v>14.389042782394581</v>
      </c>
    </row>
    <row r="679" spans="1:9" ht="17">
      <c r="A679" s="6" t="s">
        <v>1869</v>
      </c>
      <c r="B679" s="6" t="s">
        <v>1471</v>
      </c>
      <c r="C679" s="6">
        <v>13</v>
      </c>
      <c r="D679" s="6" t="s">
        <v>1484</v>
      </c>
      <c r="E679" s="6" t="s">
        <v>69</v>
      </c>
      <c r="F679" s="21">
        <v>5</v>
      </c>
      <c r="G679" s="23">
        <v>112</v>
      </c>
      <c r="H679" s="23">
        <v>19.7</v>
      </c>
      <c r="I679" s="23">
        <v>15.704719387755102</v>
      </c>
    </row>
    <row r="680" spans="1:9" ht="17">
      <c r="A680" s="6" t="s">
        <v>1870</v>
      </c>
      <c r="B680" s="6" t="s">
        <v>1471</v>
      </c>
      <c r="C680" s="6">
        <v>14</v>
      </c>
      <c r="D680" s="6" t="s">
        <v>1485</v>
      </c>
      <c r="E680" s="6" t="s">
        <v>72</v>
      </c>
      <c r="F680" s="21">
        <v>6</v>
      </c>
      <c r="G680" s="23">
        <v>115</v>
      </c>
      <c r="H680" s="23">
        <v>16.7</v>
      </c>
      <c r="I680" s="23">
        <v>12.627599243856332</v>
      </c>
    </row>
    <row r="681" spans="1:9" ht="17">
      <c r="A681" s="6" t="s">
        <v>1871</v>
      </c>
      <c r="B681" s="6" t="s">
        <v>1471</v>
      </c>
      <c r="C681" s="6">
        <v>15</v>
      </c>
      <c r="D681" s="6" t="s">
        <v>1486</v>
      </c>
      <c r="E681" s="6" t="s">
        <v>69</v>
      </c>
      <c r="F681" s="21">
        <v>5</v>
      </c>
      <c r="G681" s="23">
        <v>115</v>
      </c>
      <c r="H681" s="23">
        <v>20.3</v>
      </c>
      <c r="I681" s="23">
        <v>15.349716446124765</v>
      </c>
    </row>
    <row r="682" spans="1:9" ht="17">
      <c r="A682" s="6" t="s">
        <v>1872</v>
      </c>
      <c r="B682" s="6" t="s">
        <v>1471</v>
      </c>
      <c r="C682" s="6">
        <v>16</v>
      </c>
      <c r="D682" s="6" t="s">
        <v>1487</v>
      </c>
      <c r="E682" s="6" t="s">
        <v>69</v>
      </c>
      <c r="F682" s="21">
        <v>6</v>
      </c>
      <c r="G682" s="23">
        <v>122</v>
      </c>
      <c r="H682" s="23">
        <v>19.8</v>
      </c>
      <c r="I682" s="23">
        <v>13.302875571083042</v>
      </c>
    </row>
    <row r="683" spans="1:9" ht="17">
      <c r="A683" s="6" t="s">
        <v>1873</v>
      </c>
      <c r="B683" s="6" t="s">
        <v>1471</v>
      </c>
      <c r="C683" s="6">
        <v>17</v>
      </c>
      <c r="D683" s="6" t="s">
        <v>1488</v>
      </c>
      <c r="E683" s="6" t="s">
        <v>69</v>
      </c>
      <c r="F683" s="21">
        <v>6</v>
      </c>
      <c r="G683" s="23">
        <v>121.5</v>
      </c>
      <c r="H683" s="23">
        <v>22.5</v>
      </c>
      <c r="I683" s="23">
        <v>15.241579027587258</v>
      </c>
    </row>
    <row r="684" spans="1:9" ht="17">
      <c r="A684" s="6" t="s">
        <v>1874</v>
      </c>
      <c r="B684" s="6" t="s">
        <v>1471</v>
      </c>
      <c r="C684" s="6">
        <v>18</v>
      </c>
      <c r="D684" s="6" t="s">
        <v>1489</v>
      </c>
      <c r="E684" s="6" t="s">
        <v>72</v>
      </c>
      <c r="F684" s="21">
        <v>6</v>
      </c>
      <c r="G684" s="23">
        <v>116.5</v>
      </c>
      <c r="H684" s="23">
        <v>22.5</v>
      </c>
      <c r="I684" s="23">
        <v>16.577943966549395</v>
      </c>
    </row>
    <row r="685" spans="1:9" ht="17">
      <c r="A685" s="6" t="s">
        <v>1875</v>
      </c>
      <c r="B685" s="6" t="s">
        <v>1471</v>
      </c>
      <c r="C685" s="6">
        <v>19</v>
      </c>
      <c r="D685" s="6" t="s">
        <v>1490</v>
      </c>
      <c r="E685" s="6" t="s">
        <v>69</v>
      </c>
      <c r="F685" s="21">
        <v>6</v>
      </c>
      <c r="G685" s="23">
        <v>117.5</v>
      </c>
      <c r="H685" s="23">
        <v>17.8</v>
      </c>
      <c r="I685" s="23">
        <v>12.89271163422363</v>
      </c>
    </row>
    <row r="686" spans="1:9" ht="17">
      <c r="A686" s="6" t="s">
        <v>1876</v>
      </c>
      <c r="B686" s="6" t="s">
        <v>1471</v>
      </c>
      <c r="C686" s="6">
        <v>20</v>
      </c>
      <c r="D686" s="6" t="s">
        <v>1491</v>
      </c>
      <c r="E686" s="6" t="s">
        <v>69</v>
      </c>
      <c r="F686" s="21">
        <v>5</v>
      </c>
      <c r="G686" s="23">
        <v>107</v>
      </c>
      <c r="H686" s="23">
        <v>17</v>
      </c>
      <c r="I686" s="23">
        <v>14.848458380644598</v>
      </c>
    </row>
    <row r="687" spans="1:9" ht="17">
      <c r="A687" s="6" t="s">
        <v>1877</v>
      </c>
      <c r="B687" s="6" t="s">
        <v>1471</v>
      </c>
      <c r="C687" s="6">
        <v>21</v>
      </c>
      <c r="D687" s="6" t="s">
        <v>1492</v>
      </c>
      <c r="E687" s="6" t="s">
        <v>72</v>
      </c>
      <c r="F687" s="21">
        <v>6</v>
      </c>
      <c r="G687" s="23">
        <v>117.5</v>
      </c>
      <c r="H687" s="23">
        <v>20.8</v>
      </c>
      <c r="I687" s="23">
        <v>15.065640561339974</v>
      </c>
    </row>
    <row r="688" spans="1:9" ht="17">
      <c r="A688" s="6" t="s">
        <v>1878</v>
      </c>
      <c r="B688" s="6" t="s">
        <v>1471</v>
      </c>
      <c r="C688" s="6">
        <v>22</v>
      </c>
      <c r="D688" s="6" t="s">
        <v>1493</v>
      </c>
      <c r="E688" s="6" t="s">
        <v>72</v>
      </c>
      <c r="F688" s="21">
        <v>6</v>
      </c>
      <c r="G688" s="23">
        <v>117.5</v>
      </c>
      <c r="H688" s="23">
        <v>20.6</v>
      </c>
      <c r="I688" s="23">
        <v>14.920778632865551</v>
      </c>
    </row>
    <row r="689" spans="1:9" ht="17">
      <c r="A689" s="6" t="s">
        <v>1879</v>
      </c>
      <c r="B689" s="6" t="s">
        <v>1471</v>
      </c>
      <c r="C689" s="6">
        <v>23</v>
      </c>
      <c r="D689" s="6" t="s">
        <v>1494</v>
      </c>
      <c r="E689" s="6" t="s">
        <v>69</v>
      </c>
      <c r="F689" s="21">
        <v>6</v>
      </c>
      <c r="G689" s="23">
        <v>127</v>
      </c>
      <c r="H689" s="23">
        <v>25.9</v>
      </c>
      <c r="I689" s="23">
        <v>16.058032116064233</v>
      </c>
    </row>
    <row r="690" spans="1:9" ht="17">
      <c r="A690" s="6" t="s">
        <v>1880</v>
      </c>
      <c r="B690" s="6" t="s">
        <v>1471</v>
      </c>
      <c r="C690" s="6">
        <v>24</v>
      </c>
      <c r="D690" s="6" t="s">
        <v>1495</v>
      </c>
      <c r="E690" s="6" t="s">
        <v>69</v>
      </c>
      <c r="F690" s="21">
        <v>6</v>
      </c>
      <c r="G690" s="23">
        <v>113</v>
      </c>
      <c r="H690" s="23">
        <v>19.7</v>
      </c>
      <c r="I690" s="23">
        <v>15.42798966246378</v>
      </c>
    </row>
    <row r="691" spans="1:9" ht="17">
      <c r="A691" s="6" t="s">
        <v>1881</v>
      </c>
      <c r="B691" s="6" t="s">
        <v>1471</v>
      </c>
      <c r="C691" s="6">
        <v>25</v>
      </c>
      <c r="D691" s="6" t="s">
        <v>1496</v>
      </c>
      <c r="E691" s="6" t="s">
        <v>72</v>
      </c>
      <c r="F691" s="21">
        <v>6</v>
      </c>
      <c r="G691" s="23">
        <v>123.5</v>
      </c>
      <c r="H691" s="23">
        <v>22.5</v>
      </c>
      <c r="I691" s="23">
        <v>14.751921847596256</v>
      </c>
    </row>
    <row r="692" spans="1:9" ht="17">
      <c r="A692" s="6" t="s">
        <v>1882</v>
      </c>
      <c r="B692" s="6" t="s">
        <v>1471</v>
      </c>
      <c r="C692" s="6">
        <v>26</v>
      </c>
      <c r="D692" s="6" t="s">
        <v>1497</v>
      </c>
      <c r="E692" s="6" t="s">
        <v>72</v>
      </c>
      <c r="F692" s="21">
        <v>6</v>
      </c>
      <c r="G692" s="23">
        <v>113.5</v>
      </c>
      <c r="H692" s="23">
        <v>18.899999999999999</v>
      </c>
      <c r="I692" s="23">
        <v>14.671350113528304</v>
      </c>
    </row>
    <row r="693" spans="1:9" ht="17">
      <c r="A693" s="6" t="s">
        <v>1883</v>
      </c>
      <c r="B693" s="6" t="s">
        <v>1471</v>
      </c>
      <c r="C693" s="6">
        <v>27</v>
      </c>
      <c r="D693" s="6" t="s">
        <v>1498</v>
      </c>
      <c r="E693" s="6" t="s">
        <v>69</v>
      </c>
      <c r="F693" s="21">
        <v>6</v>
      </c>
      <c r="G693" s="23">
        <v>114</v>
      </c>
      <c r="H693" s="23">
        <v>20.6</v>
      </c>
      <c r="I693" s="23">
        <v>15.851031086488151</v>
      </c>
    </row>
    <row r="694" spans="1:9" ht="17">
      <c r="A694" s="6" t="s">
        <v>1884</v>
      </c>
      <c r="B694" s="6" t="s">
        <v>1471</v>
      </c>
      <c r="C694" s="6">
        <v>28</v>
      </c>
      <c r="D694" s="6" t="s">
        <v>1499</v>
      </c>
      <c r="E694" s="6" t="s">
        <v>69</v>
      </c>
      <c r="F694" s="21">
        <v>6</v>
      </c>
      <c r="G694" s="23">
        <v>112</v>
      </c>
      <c r="H694" s="23">
        <v>17.3</v>
      </c>
      <c r="I694" s="23">
        <v>13.791454081632654</v>
      </c>
    </row>
    <row r="695" spans="1:9" ht="17">
      <c r="A695" s="6" t="s">
        <v>1885</v>
      </c>
      <c r="B695" s="6" t="s">
        <v>1471</v>
      </c>
      <c r="C695" s="6">
        <v>29</v>
      </c>
      <c r="D695" s="6" t="s">
        <v>1500</v>
      </c>
      <c r="E695" s="6" t="s">
        <v>72</v>
      </c>
      <c r="F695" s="21">
        <v>6</v>
      </c>
      <c r="G695" s="23">
        <v>121.5</v>
      </c>
      <c r="H695" s="23">
        <v>22.7</v>
      </c>
      <c r="I695" s="23">
        <v>15.3770597300547</v>
      </c>
    </row>
    <row r="696" spans="1:9" ht="17">
      <c r="A696" s="6" t="s">
        <v>1886</v>
      </c>
      <c r="B696" s="6" t="s">
        <v>1471</v>
      </c>
      <c r="C696" s="6">
        <v>30</v>
      </c>
      <c r="D696" s="6" t="s">
        <v>1501</v>
      </c>
      <c r="E696" s="6" t="s">
        <v>69</v>
      </c>
      <c r="F696" s="21">
        <v>6</v>
      </c>
      <c r="G696" s="23">
        <v>127.5</v>
      </c>
      <c r="H696" s="23">
        <v>28.1</v>
      </c>
      <c r="I696" s="23">
        <v>17.285659361783928</v>
      </c>
    </row>
    <row r="697" spans="1:9" ht="17">
      <c r="A697" s="6" t="s">
        <v>1887</v>
      </c>
      <c r="B697" s="6" t="s">
        <v>1502</v>
      </c>
      <c r="C697" s="6">
        <v>1</v>
      </c>
      <c r="D697" s="6" t="s">
        <v>1503</v>
      </c>
      <c r="E697" s="6" t="s">
        <v>69</v>
      </c>
      <c r="F697" s="21">
        <v>7</v>
      </c>
      <c r="G697" s="23">
        <v>124</v>
      </c>
      <c r="H697" s="23">
        <v>29.3</v>
      </c>
      <c r="I697" s="23">
        <v>19.055671175858482</v>
      </c>
    </row>
    <row r="698" spans="1:9" ht="17">
      <c r="A698" s="6" t="s">
        <v>1888</v>
      </c>
      <c r="B698" s="6" t="s">
        <v>1502</v>
      </c>
      <c r="C698" s="6">
        <v>2</v>
      </c>
      <c r="D698" s="6" t="s">
        <v>1504</v>
      </c>
      <c r="E698" s="6" t="s">
        <v>69</v>
      </c>
      <c r="F698" s="21">
        <v>6</v>
      </c>
      <c r="G698" s="23">
        <v>124.5</v>
      </c>
      <c r="H698" s="23">
        <v>24.4</v>
      </c>
      <c r="I698" s="23">
        <v>15.741681585780874</v>
      </c>
    </row>
    <row r="699" spans="1:9" ht="17">
      <c r="A699" s="6" t="s">
        <v>1889</v>
      </c>
      <c r="B699" s="6" t="s">
        <v>1502</v>
      </c>
      <c r="C699" s="6">
        <v>3</v>
      </c>
      <c r="D699" s="6" t="s">
        <v>1505</v>
      </c>
      <c r="E699" s="6" t="s">
        <v>72</v>
      </c>
      <c r="F699" s="21">
        <v>7</v>
      </c>
      <c r="G699" s="23">
        <v>128.5</v>
      </c>
      <c r="H699" s="23">
        <v>28.8</v>
      </c>
      <c r="I699" s="23">
        <v>17.441596390558527</v>
      </c>
    </row>
    <row r="700" spans="1:9" ht="17">
      <c r="A700" s="6" t="s">
        <v>1890</v>
      </c>
      <c r="B700" s="6" t="s">
        <v>1502</v>
      </c>
      <c r="C700" s="6">
        <v>4</v>
      </c>
      <c r="D700" s="6" t="s">
        <v>1506</v>
      </c>
      <c r="E700" s="6" t="s">
        <v>72</v>
      </c>
      <c r="F700" s="21">
        <v>6</v>
      </c>
      <c r="G700" s="23">
        <v>125.5</v>
      </c>
      <c r="H700" s="23">
        <v>22.5</v>
      </c>
      <c r="I700" s="23">
        <v>14.285487531943938</v>
      </c>
    </row>
    <row r="701" spans="1:9" ht="17">
      <c r="A701" s="6" t="s">
        <v>1891</v>
      </c>
      <c r="B701" s="6" t="s">
        <v>1502</v>
      </c>
      <c r="C701" s="6">
        <v>5</v>
      </c>
      <c r="D701" s="6" t="s">
        <v>1507</v>
      </c>
      <c r="E701" s="6" t="s">
        <v>72</v>
      </c>
      <c r="F701" s="21">
        <v>7</v>
      </c>
      <c r="G701" s="23">
        <v>117</v>
      </c>
      <c r="H701" s="23">
        <v>17.899999999999999</v>
      </c>
      <c r="I701" s="23">
        <v>13.07619256337205</v>
      </c>
    </row>
    <row r="702" spans="1:9" ht="17">
      <c r="A702" s="6" t="s">
        <v>1892</v>
      </c>
      <c r="B702" s="6" t="s">
        <v>1502</v>
      </c>
      <c r="C702" s="6">
        <v>6</v>
      </c>
      <c r="D702" s="6" t="s">
        <v>1508</v>
      </c>
      <c r="E702" s="6" t="s">
        <v>69</v>
      </c>
      <c r="F702" s="21">
        <v>7</v>
      </c>
      <c r="G702" s="23">
        <v>120.5</v>
      </c>
      <c r="H702" s="23">
        <v>20.9</v>
      </c>
      <c r="I702" s="23">
        <v>14.393691568671338</v>
      </c>
    </row>
    <row r="703" spans="1:9" ht="17">
      <c r="A703" s="6" t="s">
        <v>1893</v>
      </c>
      <c r="B703" s="6" t="s">
        <v>1502</v>
      </c>
      <c r="C703" s="6">
        <v>7</v>
      </c>
      <c r="D703" s="6" t="s">
        <v>1509</v>
      </c>
      <c r="E703" s="6" t="s">
        <v>69</v>
      </c>
      <c r="F703" s="21">
        <v>7</v>
      </c>
      <c r="G703" s="23">
        <v>118.5</v>
      </c>
      <c r="H703" s="23">
        <v>22.8</v>
      </c>
      <c r="I703" s="23">
        <v>16.236714201783901</v>
      </c>
    </row>
    <row r="704" spans="1:9" ht="17">
      <c r="A704" s="6" t="s">
        <v>1894</v>
      </c>
      <c r="B704" s="6" t="s">
        <v>1502</v>
      </c>
      <c r="C704" s="6">
        <v>8</v>
      </c>
      <c r="D704" s="6" t="s">
        <v>1510</v>
      </c>
      <c r="E704" s="6" t="s">
        <v>69</v>
      </c>
      <c r="F704" s="21">
        <v>7</v>
      </c>
      <c r="G704" s="23">
        <v>119</v>
      </c>
      <c r="H704" s="23">
        <v>21.3</v>
      </c>
      <c r="I704" s="23">
        <v>15.041310641903822</v>
      </c>
    </row>
    <row r="705" spans="1:9" ht="17">
      <c r="A705" s="6" t="s">
        <v>1895</v>
      </c>
      <c r="B705" s="6" t="s">
        <v>1502</v>
      </c>
      <c r="C705" s="6">
        <v>9</v>
      </c>
      <c r="D705" s="6" t="s">
        <v>1511</v>
      </c>
      <c r="E705" s="6" t="s">
        <v>72</v>
      </c>
      <c r="F705" s="21">
        <v>7</v>
      </c>
      <c r="G705" s="23">
        <v>130</v>
      </c>
      <c r="H705" s="23">
        <v>25.9</v>
      </c>
      <c r="I705" s="23">
        <v>15.325443786982248</v>
      </c>
    </row>
    <row r="706" spans="1:9" ht="17">
      <c r="A706" s="6" t="s">
        <v>1896</v>
      </c>
      <c r="B706" s="6" t="s">
        <v>1502</v>
      </c>
      <c r="C706" s="6">
        <v>10</v>
      </c>
      <c r="D706" s="6" t="s">
        <v>1512</v>
      </c>
      <c r="E706" s="6" t="s">
        <v>72</v>
      </c>
      <c r="F706" s="21">
        <v>7</v>
      </c>
      <c r="G706" s="23">
        <v>116</v>
      </c>
      <c r="H706" s="23">
        <v>22.7</v>
      </c>
      <c r="I706" s="23">
        <v>16.869797859690845</v>
      </c>
    </row>
    <row r="707" spans="1:9" ht="17">
      <c r="A707" s="6" t="s">
        <v>1897</v>
      </c>
      <c r="B707" s="6" t="s">
        <v>1502</v>
      </c>
      <c r="C707" s="6">
        <v>11</v>
      </c>
      <c r="D707" s="6" t="s">
        <v>1513</v>
      </c>
      <c r="E707" s="6" t="s">
        <v>72</v>
      </c>
      <c r="F707" s="21">
        <v>7</v>
      </c>
      <c r="G707" s="23">
        <v>131</v>
      </c>
      <c r="H707" s="23">
        <v>26.7</v>
      </c>
      <c r="I707" s="23">
        <v>15.558533884971737</v>
      </c>
    </row>
    <row r="708" spans="1:9" ht="17">
      <c r="A708" s="6" t="s">
        <v>1898</v>
      </c>
      <c r="B708" s="6" t="s">
        <v>1502</v>
      </c>
      <c r="C708" s="6">
        <v>12</v>
      </c>
      <c r="D708" s="6" t="s">
        <v>1514</v>
      </c>
      <c r="E708" s="6" t="s">
        <v>69</v>
      </c>
      <c r="F708" s="21">
        <v>7</v>
      </c>
      <c r="G708" s="23">
        <v>135</v>
      </c>
      <c r="H708" s="23">
        <v>26.9</v>
      </c>
      <c r="I708" s="23">
        <v>14.759945130315501</v>
      </c>
    </row>
    <row r="709" spans="1:9" ht="17">
      <c r="A709" s="6" t="s">
        <v>1899</v>
      </c>
      <c r="B709" s="6" t="s">
        <v>1502</v>
      </c>
      <c r="C709" s="6">
        <v>13</v>
      </c>
      <c r="D709" s="6" t="s">
        <v>1515</v>
      </c>
      <c r="E709" s="6" t="s">
        <v>72</v>
      </c>
      <c r="F709" s="21">
        <v>7</v>
      </c>
      <c r="G709" s="23">
        <v>118</v>
      </c>
      <c r="H709" s="23">
        <v>19.3</v>
      </c>
      <c r="I709" s="23">
        <v>13.860959494398161</v>
      </c>
    </row>
    <row r="710" spans="1:9" ht="17">
      <c r="A710" s="6" t="s">
        <v>1900</v>
      </c>
      <c r="B710" s="6" t="s">
        <v>1502</v>
      </c>
      <c r="C710" s="6">
        <v>14</v>
      </c>
      <c r="D710" s="6" t="s">
        <v>1516</v>
      </c>
      <c r="E710" s="6" t="s">
        <v>72</v>
      </c>
      <c r="F710" s="21">
        <v>7</v>
      </c>
      <c r="G710" s="23">
        <v>125</v>
      </c>
      <c r="H710" s="23">
        <v>21.7</v>
      </c>
      <c r="I710" s="23">
        <v>13.888</v>
      </c>
    </row>
    <row r="711" spans="1:9" ht="17">
      <c r="A711" s="6" t="s">
        <v>1901</v>
      </c>
      <c r="B711" s="6" t="s">
        <v>1502</v>
      </c>
      <c r="C711" s="6">
        <v>15</v>
      </c>
      <c r="D711" s="6" t="s">
        <v>1517</v>
      </c>
      <c r="E711" s="6" t="s">
        <v>69</v>
      </c>
      <c r="F711" s="21">
        <v>7</v>
      </c>
      <c r="G711" s="23">
        <v>120</v>
      </c>
      <c r="H711" s="23">
        <v>20.6</v>
      </c>
      <c r="I711" s="23">
        <v>14.305555555555557</v>
      </c>
    </row>
    <row r="712" spans="1:9" ht="17">
      <c r="A712" s="6" t="s">
        <v>1902</v>
      </c>
      <c r="B712" s="6" t="s">
        <v>1502</v>
      </c>
      <c r="C712" s="6">
        <v>16</v>
      </c>
      <c r="D712" s="6" t="s">
        <v>1518</v>
      </c>
      <c r="E712" s="6" t="s">
        <v>72</v>
      </c>
      <c r="F712" s="21">
        <v>7</v>
      </c>
      <c r="G712" s="23">
        <v>116.5</v>
      </c>
      <c r="H712" s="23">
        <v>18.8</v>
      </c>
      <c r="I712" s="23">
        <v>13.851793180939049</v>
      </c>
    </row>
    <row r="713" spans="1:9" ht="17">
      <c r="A713" s="6" t="s">
        <v>1903</v>
      </c>
      <c r="B713" s="6" t="s">
        <v>1502</v>
      </c>
      <c r="C713" s="6">
        <v>17</v>
      </c>
      <c r="D713" s="6" t="s">
        <v>1519</v>
      </c>
      <c r="E713" s="6" t="s">
        <v>72</v>
      </c>
      <c r="F713" s="21">
        <v>7</v>
      </c>
      <c r="G713" s="23">
        <v>124.5</v>
      </c>
      <c r="H713" s="23">
        <v>30.3</v>
      </c>
      <c r="I713" s="23">
        <v>19.548071805293464</v>
      </c>
    </row>
    <row r="714" spans="1:9" ht="17">
      <c r="A714" s="6" t="s">
        <v>1904</v>
      </c>
      <c r="B714" s="6" t="s">
        <v>1502</v>
      </c>
      <c r="C714" s="6">
        <v>18</v>
      </c>
      <c r="D714" s="6" t="s">
        <v>1520</v>
      </c>
      <c r="E714" s="6" t="s">
        <v>72</v>
      </c>
      <c r="F714" s="21">
        <v>7</v>
      </c>
      <c r="G714" s="23">
        <v>114</v>
      </c>
      <c r="H714" s="23">
        <v>17.899999999999999</v>
      </c>
      <c r="I714" s="23">
        <v>13.773468759618343</v>
      </c>
    </row>
    <row r="715" spans="1:9" ht="17">
      <c r="A715" s="6" t="s">
        <v>1905</v>
      </c>
      <c r="B715" s="6" t="s">
        <v>1502</v>
      </c>
      <c r="C715" s="6">
        <v>19</v>
      </c>
      <c r="D715" s="6" t="s">
        <v>1521</v>
      </c>
      <c r="E715" s="6" t="s">
        <v>69</v>
      </c>
      <c r="F715" s="21">
        <v>7</v>
      </c>
      <c r="G715" s="23">
        <v>124.5</v>
      </c>
      <c r="H715" s="23">
        <v>26.9</v>
      </c>
      <c r="I715" s="23">
        <v>17.354558797438749</v>
      </c>
    </row>
    <row r="716" spans="1:9" ht="17">
      <c r="A716" s="6" t="s">
        <v>1906</v>
      </c>
      <c r="B716" s="6" t="s">
        <v>1502</v>
      </c>
      <c r="C716" s="6">
        <v>20</v>
      </c>
      <c r="D716" s="6" t="s">
        <v>1522</v>
      </c>
      <c r="E716" s="6" t="s">
        <v>69</v>
      </c>
      <c r="F716" s="21">
        <v>7</v>
      </c>
      <c r="G716" s="23">
        <v>118.5</v>
      </c>
      <c r="H716" s="23">
        <v>19.2</v>
      </c>
      <c r="I716" s="23">
        <v>13.673022485712758</v>
      </c>
    </row>
    <row r="717" spans="1:9" ht="17">
      <c r="A717" s="6" t="s">
        <v>1907</v>
      </c>
      <c r="B717" s="6" t="s">
        <v>1502</v>
      </c>
      <c r="C717" s="6">
        <v>21</v>
      </c>
      <c r="D717" s="6" t="s">
        <v>1523</v>
      </c>
      <c r="E717" s="6" t="s">
        <v>69</v>
      </c>
      <c r="F717" s="21">
        <v>7</v>
      </c>
      <c r="G717" s="23">
        <v>117</v>
      </c>
      <c r="H717" s="23">
        <v>23.1</v>
      </c>
      <c r="I717" s="23">
        <v>16.874863028709182</v>
      </c>
    </row>
    <row r="718" spans="1:9" ht="17">
      <c r="A718" s="6" t="s">
        <v>1908</v>
      </c>
      <c r="B718" s="6" t="s">
        <v>1502</v>
      </c>
      <c r="C718" s="6">
        <v>22</v>
      </c>
      <c r="D718" s="6" t="s">
        <v>1524</v>
      </c>
      <c r="E718" s="6" t="s">
        <v>72</v>
      </c>
      <c r="F718" s="21">
        <v>7</v>
      </c>
      <c r="G718" s="23">
        <v>118</v>
      </c>
      <c r="H718" s="23">
        <v>20.3</v>
      </c>
      <c r="I718" s="23">
        <v>14.579143924159723</v>
      </c>
    </row>
    <row r="719" spans="1:9" ht="17">
      <c r="A719" s="6" t="s">
        <v>1909</v>
      </c>
      <c r="B719" s="6" t="s">
        <v>1502</v>
      </c>
      <c r="C719" s="6">
        <v>23</v>
      </c>
      <c r="D719" s="6" t="s">
        <v>1525</v>
      </c>
      <c r="E719" s="6" t="s">
        <v>72</v>
      </c>
      <c r="F719" s="21">
        <v>7</v>
      </c>
      <c r="G719" s="23">
        <v>110.5</v>
      </c>
      <c r="H719" s="23">
        <v>18.399999999999999</v>
      </c>
      <c r="I719" s="23">
        <v>15.069306525255419</v>
      </c>
    </row>
    <row r="720" spans="1:9" ht="17">
      <c r="A720" s="6" t="s">
        <v>1910</v>
      </c>
      <c r="B720" s="6" t="s">
        <v>1502</v>
      </c>
      <c r="C720" s="6">
        <v>24</v>
      </c>
      <c r="D720" s="6" t="s">
        <v>1526</v>
      </c>
      <c r="E720" s="6" t="s">
        <v>72</v>
      </c>
      <c r="F720" s="21">
        <v>7</v>
      </c>
      <c r="G720" s="23">
        <v>122</v>
      </c>
      <c r="H720" s="23">
        <v>22.8</v>
      </c>
      <c r="I720" s="23">
        <v>15.318462778822898</v>
      </c>
    </row>
    <row r="721" spans="1:9" ht="17">
      <c r="A721" s="6" t="s">
        <v>1911</v>
      </c>
      <c r="B721" s="6" t="s">
        <v>1502</v>
      </c>
      <c r="C721" s="6">
        <v>25</v>
      </c>
      <c r="D721" s="6" t="s">
        <v>1527</v>
      </c>
      <c r="E721" s="6" t="s">
        <v>69</v>
      </c>
      <c r="F721" s="21">
        <v>6</v>
      </c>
      <c r="G721" s="23">
        <v>126</v>
      </c>
      <c r="H721" s="23">
        <v>21.9</v>
      </c>
      <c r="I721" s="23">
        <v>13.794406651549508</v>
      </c>
    </row>
    <row r="722" spans="1:9" ht="17">
      <c r="A722" s="6" t="s">
        <v>1912</v>
      </c>
      <c r="B722" s="6" t="s">
        <v>1502</v>
      </c>
      <c r="C722" s="6">
        <v>26</v>
      </c>
      <c r="D722" s="6" t="s">
        <v>1528</v>
      </c>
      <c r="E722" s="6" t="s">
        <v>69</v>
      </c>
      <c r="F722" s="21">
        <v>6</v>
      </c>
      <c r="G722" s="23">
        <v>113.5</v>
      </c>
      <c r="H722" s="23">
        <v>24.8</v>
      </c>
      <c r="I722" s="23">
        <v>19.251295387063596</v>
      </c>
    </row>
    <row r="723" spans="1:9" ht="17">
      <c r="A723" s="6" t="s">
        <v>1913</v>
      </c>
      <c r="B723" s="6" t="s">
        <v>1502</v>
      </c>
      <c r="C723" s="6">
        <v>27</v>
      </c>
      <c r="D723" s="6" t="s">
        <v>1529</v>
      </c>
      <c r="E723" s="6" t="s">
        <v>69</v>
      </c>
      <c r="F723" s="21">
        <v>7</v>
      </c>
      <c r="G723" s="23">
        <v>123.5</v>
      </c>
      <c r="H723" s="23">
        <v>21.5</v>
      </c>
      <c r="I723" s="23">
        <v>14.096280876591978</v>
      </c>
    </row>
    <row r="724" spans="1:9" ht="17">
      <c r="A724" s="6" t="s">
        <v>1914</v>
      </c>
      <c r="B724" s="6" t="s">
        <v>1502</v>
      </c>
      <c r="C724" s="6">
        <v>28</v>
      </c>
      <c r="D724" s="6" t="s">
        <v>1530</v>
      </c>
      <c r="E724" s="6" t="s">
        <v>69</v>
      </c>
      <c r="F724" s="21">
        <v>7</v>
      </c>
      <c r="G724" s="23">
        <v>122.5</v>
      </c>
      <c r="H724" s="23">
        <v>22</v>
      </c>
      <c r="I724" s="23">
        <v>14.660558100791336</v>
      </c>
    </row>
    <row r="725" spans="1:9" ht="17">
      <c r="A725" s="6" t="s">
        <v>1915</v>
      </c>
      <c r="B725" s="6" t="s">
        <v>1502</v>
      </c>
      <c r="C725" s="6">
        <v>29</v>
      </c>
      <c r="D725" s="6" t="s">
        <v>1531</v>
      </c>
      <c r="E725" s="6" t="s">
        <v>72</v>
      </c>
      <c r="F725" s="21">
        <v>7</v>
      </c>
      <c r="G725" s="23">
        <v>119</v>
      </c>
      <c r="H725" s="23">
        <v>19.8</v>
      </c>
      <c r="I725" s="23">
        <v>13.982063413600736</v>
      </c>
    </row>
    <row r="726" spans="1:9" ht="17">
      <c r="A726" s="6" t="s">
        <v>1916</v>
      </c>
      <c r="B726" s="6" t="s">
        <v>1502</v>
      </c>
      <c r="C726" s="6">
        <v>30</v>
      </c>
      <c r="D726" s="6" t="s">
        <v>1532</v>
      </c>
      <c r="E726" s="6" t="s">
        <v>69</v>
      </c>
      <c r="F726" s="21">
        <v>7</v>
      </c>
      <c r="G726" s="23">
        <v>121</v>
      </c>
      <c r="H726" s="23">
        <v>18.3</v>
      </c>
      <c r="I726" s="23">
        <v>12.499146233180795</v>
      </c>
    </row>
    <row r="727" spans="1:9" ht="17">
      <c r="A727" s="6" t="s">
        <v>1917</v>
      </c>
      <c r="B727" s="6" t="s">
        <v>1533</v>
      </c>
      <c r="C727" s="6">
        <v>1</v>
      </c>
      <c r="D727" s="6" t="s">
        <v>1534</v>
      </c>
      <c r="E727" s="6" t="s">
        <v>72</v>
      </c>
      <c r="F727" s="21">
        <v>7</v>
      </c>
      <c r="G727" s="23">
        <v>129.5</v>
      </c>
      <c r="H727" s="23">
        <v>24.6</v>
      </c>
      <c r="I727" s="23">
        <v>14.668833201651735</v>
      </c>
    </row>
    <row r="728" spans="1:9" ht="17">
      <c r="A728" s="6" t="s">
        <v>1918</v>
      </c>
      <c r="B728" s="6" t="s">
        <v>1533</v>
      </c>
      <c r="C728" s="6">
        <v>2</v>
      </c>
      <c r="D728" s="6" t="s">
        <v>1535</v>
      </c>
      <c r="E728" s="6" t="s">
        <v>72</v>
      </c>
      <c r="F728" s="21">
        <v>7</v>
      </c>
      <c r="G728" s="23">
        <v>109.5</v>
      </c>
      <c r="H728" s="23">
        <v>16.5</v>
      </c>
      <c r="I728" s="23">
        <v>13.761180959529618</v>
      </c>
    </row>
    <row r="729" spans="1:9" ht="17">
      <c r="A729" s="6" t="s">
        <v>1919</v>
      </c>
      <c r="B729" s="6" t="s">
        <v>1533</v>
      </c>
      <c r="C729" s="6">
        <v>3</v>
      </c>
      <c r="D729" s="6" t="s">
        <v>1536</v>
      </c>
      <c r="E729" s="6" t="s">
        <v>72</v>
      </c>
      <c r="F729" s="21">
        <v>7</v>
      </c>
      <c r="G729" s="23">
        <v>116.5</v>
      </c>
      <c r="H729" s="23">
        <v>18.7</v>
      </c>
      <c r="I729" s="23">
        <v>13.778113429976607</v>
      </c>
    </row>
    <row r="730" spans="1:9" ht="17">
      <c r="A730" s="6" t="s">
        <v>1920</v>
      </c>
      <c r="B730" s="6" t="s">
        <v>1533</v>
      </c>
      <c r="C730" s="6">
        <v>4</v>
      </c>
      <c r="D730" s="6" t="s">
        <v>1537</v>
      </c>
      <c r="E730" s="6" t="s">
        <v>69</v>
      </c>
      <c r="F730" s="21">
        <v>7</v>
      </c>
      <c r="G730" s="23">
        <v>116</v>
      </c>
      <c r="H730" s="23">
        <v>18.100000000000001</v>
      </c>
      <c r="I730" s="23">
        <v>13.4512485136742</v>
      </c>
    </row>
    <row r="731" spans="1:9" ht="17">
      <c r="A731" s="6" t="s">
        <v>1921</v>
      </c>
      <c r="B731" s="6" t="s">
        <v>1533</v>
      </c>
      <c r="C731" s="6">
        <v>5</v>
      </c>
      <c r="D731" s="6" t="s">
        <v>1538</v>
      </c>
      <c r="E731" s="6" t="s">
        <v>72</v>
      </c>
      <c r="F731" s="21">
        <v>7</v>
      </c>
      <c r="G731" s="23">
        <v>129</v>
      </c>
      <c r="H731" s="23">
        <v>25.1</v>
      </c>
      <c r="I731" s="23">
        <v>15.083228171383933</v>
      </c>
    </row>
    <row r="732" spans="1:9" ht="17">
      <c r="A732" s="6" t="s">
        <v>1922</v>
      </c>
      <c r="B732" s="6" t="s">
        <v>1533</v>
      </c>
      <c r="C732" s="6">
        <v>6</v>
      </c>
      <c r="D732" s="6" t="s">
        <v>1539</v>
      </c>
      <c r="E732" s="6" t="s">
        <v>69</v>
      </c>
      <c r="F732" s="21">
        <v>7</v>
      </c>
      <c r="G732" s="23">
        <v>125.5</v>
      </c>
      <c r="H732" s="23">
        <v>23</v>
      </c>
      <c r="I732" s="23">
        <v>14.602942810431582</v>
      </c>
    </row>
    <row r="733" spans="1:9" ht="17">
      <c r="A733" s="6" t="s">
        <v>1923</v>
      </c>
      <c r="B733" s="6" t="s">
        <v>1533</v>
      </c>
      <c r="C733" s="6">
        <v>7</v>
      </c>
      <c r="D733" s="6" t="s">
        <v>1540</v>
      </c>
      <c r="E733" s="6" t="s">
        <v>72</v>
      </c>
      <c r="F733" s="21">
        <v>7</v>
      </c>
      <c r="G733" s="23">
        <v>123.5</v>
      </c>
      <c r="H733" s="23">
        <v>20.7</v>
      </c>
      <c r="I733" s="23">
        <v>13.571768099788555</v>
      </c>
    </row>
    <row r="734" spans="1:9" ht="17">
      <c r="A734" s="6" t="s">
        <v>1924</v>
      </c>
      <c r="B734" s="6" t="s">
        <v>1533</v>
      </c>
      <c r="C734" s="6">
        <v>8</v>
      </c>
      <c r="D734" s="6" t="s">
        <v>1541</v>
      </c>
      <c r="E734" s="6" t="s">
        <v>72</v>
      </c>
      <c r="F734" s="21">
        <v>7</v>
      </c>
      <c r="G734" s="23">
        <v>122</v>
      </c>
      <c r="H734" s="23">
        <v>20.6</v>
      </c>
      <c r="I734" s="23">
        <v>13.840365493147004</v>
      </c>
    </row>
    <row r="735" spans="1:9" ht="17">
      <c r="A735" s="6" t="s">
        <v>1925</v>
      </c>
      <c r="B735" s="6" t="s">
        <v>1533</v>
      </c>
      <c r="C735" s="6">
        <v>9</v>
      </c>
      <c r="D735" s="6" t="s">
        <v>1542</v>
      </c>
      <c r="E735" s="6" t="s">
        <v>72</v>
      </c>
      <c r="F735" s="21">
        <v>7</v>
      </c>
      <c r="G735" s="23">
        <v>126.5</v>
      </c>
      <c r="H735" s="23">
        <v>22.1</v>
      </c>
      <c r="I735" s="23">
        <v>13.810557890296678</v>
      </c>
    </row>
    <row r="736" spans="1:9" ht="17">
      <c r="A736" s="6" t="s">
        <v>1926</v>
      </c>
      <c r="B736" s="6" t="s">
        <v>1533</v>
      </c>
      <c r="C736" s="6">
        <v>10</v>
      </c>
      <c r="D736" s="6" t="s">
        <v>1543</v>
      </c>
      <c r="E736" s="6" t="s">
        <v>69</v>
      </c>
      <c r="F736" s="21">
        <v>7</v>
      </c>
      <c r="G736" s="23">
        <v>121.5</v>
      </c>
      <c r="H736" s="23">
        <v>21.2</v>
      </c>
      <c r="I736" s="23">
        <v>14.360954461548884</v>
      </c>
    </row>
    <row r="737" spans="1:9" ht="17">
      <c r="A737" s="6" t="s">
        <v>1927</v>
      </c>
      <c r="B737" s="6" t="s">
        <v>1533</v>
      </c>
      <c r="C737" s="6">
        <v>11</v>
      </c>
      <c r="D737" s="6" t="s">
        <v>1544</v>
      </c>
      <c r="E737" s="6" t="s">
        <v>69</v>
      </c>
      <c r="F737" s="21">
        <v>7</v>
      </c>
      <c r="G737" s="23">
        <v>120</v>
      </c>
      <c r="H737" s="23">
        <v>20.8</v>
      </c>
      <c r="I737" s="23">
        <v>14.444444444444445</v>
      </c>
    </row>
    <row r="738" spans="1:9" ht="17">
      <c r="A738" s="6" t="s">
        <v>1928</v>
      </c>
      <c r="B738" s="6" t="s">
        <v>1533</v>
      </c>
      <c r="C738" s="6">
        <v>12</v>
      </c>
      <c r="D738" s="6" t="s">
        <v>1545</v>
      </c>
      <c r="E738" s="6" t="s">
        <v>69</v>
      </c>
      <c r="F738" s="21">
        <v>7</v>
      </c>
      <c r="G738" s="23">
        <v>122</v>
      </c>
      <c r="H738" s="23">
        <v>21.8</v>
      </c>
      <c r="I738" s="23">
        <v>14.646600376242947</v>
      </c>
    </row>
    <row r="739" spans="1:9" ht="17">
      <c r="A739" s="6" t="s">
        <v>1929</v>
      </c>
      <c r="B739" s="6" t="s">
        <v>1533</v>
      </c>
      <c r="C739" s="6">
        <v>13</v>
      </c>
      <c r="D739" s="6" t="s">
        <v>1546</v>
      </c>
      <c r="E739" s="6" t="s">
        <v>72</v>
      </c>
      <c r="F739" s="21">
        <v>7</v>
      </c>
      <c r="G739" s="23">
        <v>122</v>
      </c>
      <c r="H739" s="23">
        <v>20.7</v>
      </c>
      <c r="I739" s="23">
        <v>13.907551733404999</v>
      </c>
    </row>
    <row r="740" spans="1:9" ht="17">
      <c r="A740" s="6" t="s">
        <v>1930</v>
      </c>
      <c r="B740" s="6" t="s">
        <v>1533</v>
      </c>
      <c r="C740" s="6">
        <v>14</v>
      </c>
      <c r="D740" s="6" t="s">
        <v>1547</v>
      </c>
      <c r="E740" s="6" t="s">
        <v>69</v>
      </c>
      <c r="F740" s="21">
        <v>7</v>
      </c>
      <c r="G740" s="23">
        <v>123.5</v>
      </c>
      <c r="H740" s="23">
        <v>18.7</v>
      </c>
      <c r="I740" s="23">
        <v>12.260486157779999</v>
      </c>
    </row>
    <row r="741" spans="1:9" ht="17">
      <c r="A741" s="6" t="s">
        <v>1931</v>
      </c>
      <c r="B741" s="6" t="s">
        <v>1533</v>
      </c>
      <c r="C741" s="6">
        <v>15</v>
      </c>
      <c r="D741" s="6" t="s">
        <v>1548</v>
      </c>
      <c r="E741" s="6" t="s">
        <v>69</v>
      </c>
      <c r="F741" s="21">
        <v>7</v>
      </c>
      <c r="G741" s="23">
        <v>127.5</v>
      </c>
      <c r="H741" s="23">
        <v>23.8</v>
      </c>
      <c r="I741" s="23">
        <v>14.640522875816993</v>
      </c>
    </row>
    <row r="742" spans="1:9" ht="17">
      <c r="A742" s="6" t="s">
        <v>1932</v>
      </c>
      <c r="B742" s="6" t="s">
        <v>1533</v>
      </c>
      <c r="C742" s="6">
        <v>16</v>
      </c>
      <c r="D742" s="6" t="s">
        <v>1549</v>
      </c>
      <c r="E742" s="6" t="s">
        <v>69</v>
      </c>
      <c r="F742" s="21">
        <v>7</v>
      </c>
      <c r="G742" s="23">
        <v>120.5</v>
      </c>
      <c r="H742" s="23">
        <v>21.7</v>
      </c>
      <c r="I742" s="23">
        <v>14.944646269864499</v>
      </c>
    </row>
    <row r="743" spans="1:9" ht="17">
      <c r="A743" s="6" t="s">
        <v>1933</v>
      </c>
      <c r="B743" s="6" t="s">
        <v>1533</v>
      </c>
      <c r="C743" s="6">
        <v>17</v>
      </c>
      <c r="D743" s="6" t="s">
        <v>1550</v>
      </c>
      <c r="E743" s="6" t="s">
        <v>69</v>
      </c>
      <c r="F743" s="21">
        <v>6</v>
      </c>
      <c r="G743" s="23">
        <v>115.5</v>
      </c>
      <c r="H743" s="23">
        <v>20.2</v>
      </c>
      <c r="I743" s="23">
        <v>15.142145012274881</v>
      </c>
    </row>
    <row r="744" spans="1:9" ht="17">
      <c r="A744" s="6" t="s">
        <v>1934</v>
      </c>
      <c r="B744" s="6" t="s">
        <v>1533</v>
      </c>
      <c r="C744" s="6">
        <v>18</v>
      </c>
      <c r="D744" s="6" t="s">
        <v>1551</v>
      </c>
      <c r="E744" s="6" t="s">
        <v>72</v>
      </c>
      <c r="F744" s="21">
        <v>7</v>
      </c>
      <c r="G744" s="23">
        <v>125.5</v>
      </c>
      <c r="H744" s="23">
        <v>28.4</v>
      </c>
      <c r="I744" s="23">
        <v>18.031459818098124</v>
      </c>
    </row>
    <row r="745" spans="1:9" ht="17">
      <c r="A745" s="6" t="s">
        <v>1935</v>
      </c>
      <c r="B745" s="6" t="s">
        <v>1533</v>
      </c>
      <c r="C745" s="6">
        <v>19</v>
      </c>
      <c r="D745" s="6" t="s">
        <v>1552</v>
      </c>
      <c r="E745" s="6" t="s">
        <v>72</v>
      </c>
      <c r="F745" s="21">
        <v>7</v>
      </c>
      <c r="G745" s="23">
        <v>119.5</v>
      </c>
      <c r="H745" s="23">
        <v>18.7</v>
      </c>
      <c r="I745" s="23">
        <v>13.095008840881636</v>
      </c>
    </row>
    <row r="746" spans="1:9" ht="17">
      <c r="A746" s="6" t="s">
        <v>1936</v>
      </c>
      <c r="B746" s="6" t="s">
        <v>1533</v>
      </c>
      <c r="C746" s="6">
        <v>20</v>
      </c>
      <c r="D746" s="6" t="s">
        <v>1553</v>
      </c>
      <c r="E746" s="6" t="s">
        <v>69</v>
      </c>
      <c r="F746" s="21">
        <v>7</v>
      </c>
      <c r="G746" s="23">
        <v>127</v>
      </c>
      <c r="H746" s="23">
        <v>21.6</v>
      </c>
      <c r="I746" s="23">
        <v>13.392026784053568</v>
      </c>
    </row>
    <row r="747" spans="1:9" ht="17">
      <c r="A747" s="6" t="s">
        <v>1937</v>
      </c>
      <c r="B747" s="6" t="s">
        <v>1533</v>
      </c>
      <c r="C747" s="6">
        <v>21</v>
      </c>
      <c r="D747" s="6" t="s">
        <v>1554</v>
      </c>
      <c r="E747" s="6" t="s">
        <v>72</v>
      </c>
      <c r="F747" s="21">
        <v>7</v>
      </c>
      <c r="G747" s="23">
        <v>120.5</v>
      </c>
      <c r="H747" s="23">
        <v>20.9</v>
      </c>
      <c r="I747" s="23">
        <v>14.393691568671338</v>
      </c>
    </row>
    <row r="748" spans="1:9" ht="17">
      <c r="A748" s="6" t="s">
        <v>1938</v>
      </c>
      <c r="B748" s="6" t="s">
        <v>1533</v>
      </c>
      <c r="C748" s="6">
        <v>22</v>
      </c>
      <c r="D748" s="6" t="s">
        <v>1555</v>
      </c>
      <c r="E748" s="6" t="s">
        <v>72</v>
      </c>
      <c r="F748" s="21">
        <v>7</v>
      </c>
      <c r="G748" s="23">
        <v>117</v>
      </c>
      <c r="H748" s="23">
        <v>18.100000000000001</v>
      </c>
      <c r="I748" s="23">
        <v>13.222295273577325</v>
      </c>
    </row>
    <row r="749" spans="1:9" ht="17">
      <c r="A749" s="6" t="s">
        <v>1939</v>
      </c>
      <c r="B749" s="6" t="s">
        <v>1533</v>
      </c>
      <c r="C749" s="6">
        <v>23</v>
      </c>
      <c r="D749" s="6" t="s">
        <v>1556</v>
      </c>
      <c r="E749" s="6" t="s">
        <v>69</v>
      </c>
      <c r="F749" s="21">
        <v>6</v>
      </c>
      <c r="G749" s="23">
        <v>124.5</v>
      </c>
      <c r="H749" s="23">
        <v>21.6</v>
      </c>
      <c r="I749" s="23">
        <v>13.935259108724054</v>
      </c>
    </row>
    <row r="750" spans="1:9" ht="17">
      <c r="A750" s="6" t="s">
        <v>1940</v>
      </c>
      <c r="B750" s="6" t="s">
        <v>1533</v>
      </c>
      <c r="C750" s="6">
        <v>24</v>
      </c>
      <c r="D750" s="6" t="s">
        <v>1557</v>
      </c>
      <c r="E750" s="6" t="s">
        <v>69</v>
      </c>
      <c r="F750" s="21">
        <v>7</v>
      </c>
      <c r="G750" s="23">
        <v>129.5</v>
      </c>
      <c r="H750" s="23">
        <v>24.8</v>
      </c>
      <c r="I750" s="23">
        <v>14.78809200816923</v>
      </c>
    </row>
    <row r="751" spans="1:9" ht="17">
      <c r="A751" s="6" t="s">
        <v>1941</v>
      </c>
      <c r="B751" s="6" t="s">
        <v>1533</v>
      </c>
      <c r="C751" s="6">
        <v>25</v>
      </c>
      <c r="D751" s="6" t="s">
        <v>1558</v>
      </c>
      <c r="E751" s="6" t="s">
        <v>69</v>
      </c>
      <c r="F751" s="21">
        <v>6</v>
      </c>
      <c r="G751" s="23">
        <v>120</v>
      </c>
      <c r="H751" s="23">
        <v>19.899999999999999</v>
      </c>
      <c r="I751" s="23">
        <v>13.819444444444445</v>
      </c>
    </row>
    <row r="752" spans="1:9" ht="17">
      <c r="A752" s="6" t="s">
        <v>1942</v>
      </c>
      <c r="B752" s="6" t="s">
        <v>1533</v>
      </c>
      <c r="C752" s="6">
        <v>26</v>
      </c>
      <c r="D752" s="6" t="s">
        <v>1559</v>
      </c>
      <c r="E752" s="6" t="s">
        <v>72</v>
      </c>
      <c r="F752" s="21">
        <v>6</v>
      </c>
      <c r="G752" s="23">
        <v>120</v>
      </c>
      <c r="H752" s="23">
        <v>20.8</v>
      </c>
      <c r="I752" s="23">
        <v>14.444444444444445</v>
      </c>
    </row>
    <row r="753" spans="1:9" ht="17">
      <c r="A753" s="6" t="s">
        <v>1943</v>
      </c>
      <c r="B753" s="6" t="s">
        <v>1533</v>
      </c>
      <c r="C753" s="6">
        <v>27</v>
      </c>
      <c r="D753" s="6" t="s">
        <v>1560</v>
      </c>
      <c r="E753" s="6" t="s">
        <v>69</v>
      </c>
      <c r="F753" s="21">
        <v>7</v>
      </c>
      <c r="G753" s="23">
        <v>126</v>
      </c>
      <c r="H753" s="23">
        <v>22.8</v>
      </c>
      <c r="I753" s="23">
        <v>14.361300075585792</v>
      </c>
    </row>
    <row r="754" spans="1:9" ht="17">
      <c r="A754" s="6" t="s">
        <v>1944</v>
      </c>
      <c r="B754" s="6" t="s">
        <v>1533</v>
      </c>
      <c r="C754" s="6">
        <v>28</v>
      </c>
      <c r="D754" s="6" t="s">
        <v>1561</v>
      </c>
      <c r="E754" s="6" t="s">
        <v>69</v>
      </c>
      <c r="F754" s="21">
        <v>7</v>
      </c>
      <c r="G754" s="23">
        <v>123</v>
      </c>
      <c r="H754" s="23">
        <v>20.7</v>
      </c>
      <c r="I754" s="23">
        <v>13.682331945270672</v>
      </c>
    </row>
    <row r="755" spans="1:9" ht="17">
      <c r="A755" s="6" t="s">
        <v>1945</v>
      </c>
      <c r="B755" s="6" t="s">
        <v>1533</v>
      </c>
      <c r="C755" s="6">
        <v>29</v>
      </c>
      <c r="D755" s="6" t="s">
        <v>1562</v>
      </c>
      <c r="E755" s="6" t="s">
        <v>72</v>
      </c>
      <c r="F755" s="21">
        <v>7</v>
      </c>
      <c r="G755" s="23">
        <v>124</v>
      </c>
      <c r="H755" s="23">
        <v>21.9</v>
      </c>
      <c r="I755" s="23">
        <v>14.242976066597294</v>
      </c>
    </row>
    <row r="756" spans="1:9" ht="17">
      <c r="A756" s="6" t="s">
        <v>1946</v>
      </c>
      <c r="B756" s="6" t="s">
        <v>1563</v>
      </c>
      <c r="C756" s="6">
        <v>1</v>
      </c>
      <c r="D756" s="6" t="s">
        <v>1564</v>
      </c>
      <c r="E756" s="6" t="s">
        <v>72</v>
      </c>
      <c r="F756" s="21">
        <v>8</v>
      </c>
      <c r="G756" s="23">
        <v>128</v>
      </c>
      <c r="H756" s="23">
        <v>25.9</v>
      </c>
      <c r="I756" s="23">
        <v>15.808105468749998</v>
      </c>
    </row>
    <row r="757" spans="1:9" ht="17">
      <c r="A757" s="6" t="s">
        <v>1947</v>
      </c>
      <c r="B757" s="6" t="s">
        <v>1563</v>
      </c>
      <c r="C757" s="6">
        <v>2</v>
      </c>
      <c r="D757" s="6" t="s">
        <v>1565</v>
      </c>
      <c r="E757" s="6" t="s">
        <v>72</v>
      </c>
      <c r="F757" s="21">
        <v>8</v>
      </c>
      <c r="G757" s="23">
        <v>133</v>
      </c>
      <c r="H757" s="23">
        <v>28.3</v>
      </c>
      <c r="I757" s="23">
        <v>15.998643224602862</v>
      </c>
    </row>
    <row r="758" spans="1:9" ht="17">
      <c r="A758" s="6" t="s">
        <v>1948</v>
      </c>
      <c r="B758" s="6" t="s">
        <v>1563</v>
      </c>
      <c r="C758" s="6">
        <v>3</v>
      </c>
      <c r="D758" s="6" t="s">
        <v>1566</v>
      </c>
      <c r="E758" s="6" t="s">
        <v>69</v>
      </c>
      <c r="F758" s="21">
        <v>8</v>
      </c>
      <c r="G758" s="23">
        <v>131.5</v>
      </c>
      <c r="H758" s="23">
        <v>29.1</v>
      </c>
      <c r="I758" s="23">
        <v>16.828347959345951</v>
      </c>
    </row>
    <row r="759" spans="1:9" ht="17">
      <c r="A759" s="6" t="s">
        <v>1949</v>
      </c>
      <c r="B759" s="6" t="s">
        <v>1563</v>
      </c>
      <c r="C759" s="6">
        <v>4</v>
      </c>
      <c r="D759" s="6" t="s">
        <v>1567</v>
      </c>
      <c r="E759" s="6" t="s">
        <v>72</v>
      </c>
      <c r="F759" s="21">
        <v>8</v>
      </c>
      <c r="G759" s="23">
        <v>127.5</v>
      </c>
      <c r="H759" s="23">
        <v>23.5</v>
      </c>
      <c r="I759" s="23">
        <v>14.4559784698193</v>
      </c>
    </row>
    <row r="760" spans="1:9" ht="17">
      <c r="A760" s="6" t="s">
        <v>1950</v>
      </c>
      <c r="B760" s="6" t="s">
        <v>1563</v>
      </c>
      <c r="C760" s="6">
        <v>5</v>
      </c>
      <c r="D760" s="6" t="s">
        <v>1568</v>
      </c>
      <c r="E760" s="6" t="s">
        <v>69</v>
      </c>
      <c r="F760" s="21">
        <v>8</v>
      </c>
      <c r="G760" s="23">
        <v>125</v>
      </c>
      <c r="H760" s="23">
        <v>20</v>
      </c>
      <c r="I760" s="23">
        <v>12.8</v>
      </c>
    </row>
    <row r="761" spans="1:9" ht="17">
      <c r="A761" s="6" t="s">
        <v>1951</v>
      </c>
      <c r="B761" s="6" t="s">
        <v>1563</v>
      </c>
      <c r="C761" s="6">
        <v>6</v>
      </c>
      <c r="D761" s="6" t="s">
        <v>1569</v>
      </c>
      <c r="E761" s="6" t="s">
        <v>69</v>
      </c>
      <c r="F761" s="21">
        <v>8</v>
      </c>
      <c r="G761" s="23">
        <v>128.5</v>
      </c>
      <c r="H761" s="23">
        <v>28.1</v>
      </c>
      <c r="I761" s="23">
        <v>17.017668700510228</v>
      </c>
    </row>
    <row r="762" spans="1:9" ht="17">
      <c r="A762" s="6" t="s">
        <v>1952</v>
      </c>
      <c r="B762" s="6" t="s">
        <v>1563</v>
      </c>
      <c r="C762" s="6">
        <v>7</v>
      </c>
      <c r="D762" s="6" t="s">
        <v>1570</v>
      </c>
      <c r="E762" s="6" t="s">
        <v>69</v>
      </c>
      <c r="F762" s="21">
        <v>8</v>
      </c>
      <c r="G762" s="23">
        <v>129</v>
      </c>
      <c r="H762" s="23">
        <v>25.3</v>
      </c>
      <c r="I762" s="23">
        <v>15.20341325641488</v>
      </c>
    </row>
    <row r="763" spans="1:9" ht="17">
      <c r="A763" s="6" t="s">
        <v>1953</v>
      </c>
      <c r="B763" s="6" t="s">
        <v>1563</v>
      </c>
      <c r="C763" s="6">
        <v>8</v>
      </c>
      <c r="D763" s="6" t="s">
        <v>1571</v>
      </c>
      <c r="E763" s="6" t="s">
        <v>69</v>
      </c>
      <c r="F763" s="21">
        <v>8</v>
      </c>
      <c r="G763" s="23">
        <v>123</v>
      </c>
      <c r="H763" s="23">
        <v>23.4</v>
      </c>
      <c r="I763" s="23">
        <v>15.466983938132064</v>
      </c>
    </row>
    <row r="764" spans="1:9" ht="17">
      <c r="A764" s="6" t="s">
        <v>1954</v>
      </c>
      <c r="B764" s="6" t="s">
        <v>1563</v>
      </c>
      <c r="C764" s="6">
        <v>9</v>
      </c>
      <c r="D764" s="6" t="s">
        <v>1572</v>
      </c>
      <c r="E764" s="6" t="s">
        <v>72</v>
      </c>
      <c r="F764" s="21">
        <v>8</v>
      </c>
      <c r="G764" s="23">
        <v>142.5</v>
      </c>
      <c r="H764" s="23">
        <v>55.4</v>
      </c>
      <c r="I764" s="23">
        <v>27.282240689442904</v>
      </c>
    </row>
    <row r="765" spans="1:9" ht="17">
      <c r="A765" s="6" t="s">
        <v>1955</v>
      </c>
      <c r="B765" s="6" t="s">
        <v>1563</v>
      </c>
      <c r="C765" s="6">
        <v>10</v>
      </c>
      <c r="D765" s="6" t="s">
        <v>1573</v>
      </c>
      <c r="E765" s="6" t="s">
        <v>69</v>
      </c>
      <c r="F765" s="21">
        <v>8</v>
      </c>
      <c r="G765" s="23">
        <v>122.5</v>
      </c>
      <c r="H765" s="23">
        <v>21.7</v>
      </c>
      <c r="I765" s="23">
        <v>14.460641399416907</v>
      </c>
    </row>
    <row r="766" spans="1:9" ht="17">
      <c r="A766" s="6" t="s">
        <v>1956</v>
      </c>
      <c r="B766" s="6" t="s">
        <v>1563</v>
      </c>
      <c r="C766" s="6">
        <v>11</v>
      </c>
      <c r="D766" s="6" t="s">
        <v>1574</v>
      </c>
      <c r="E766" s="6" t="s">
        <v>72</v>
      </c>
      <c r="F766" s="21">
        <v>8</v>
      </c>
      <c r="G766" s="23">
        <v>131</v>
      </c>
      <c r="H766" s="23">
        <v>30.7</v>
      </c>
      <c r="I766" s="23">
        <v>17.889400384592971</v>
      </c>
    </row>
    <row r="767" spans="1:9" ht="17">
      <c r="A767" s="6" t="s">
        <v>1957</v>
      </c>
      <c r="B767" s="6" t="s">
        <v>1563</v>
      </c>
      <c r="C767" s="6">
        <v>12</v>
      </c>
      <c r="D767" s="6" t="s">
        <v>1575</v>
      </c>
      <c r="E767" s="6" t="s">
        <v>72</v>
      </c>
      <c r="F767" s="21">
        <v>8</v>
      </c>
      <c r="G767" s="23">
        <v>125.5</v>
      </c>
      <c r="H767" s="23">
        <v>21.1</v>
      </c>
      <c r="I767" s="23">
        <v>13.396612752178539</v>
      </c>
    </row>
    <row r="768" spans="1:9" ht="17">
      <c r="A768" s="6" t="s">
        <v>1958</v>
      </c>
      <c r="B768" s="6" t="s">
        <v>1563</v>
      </c>
      <c r="C768" s="6">
        <v>13</v>
      </c>
      <c r="D768" s="6" t="s">
        <v>1576</v>
      </c>
      <c r="E768" s="6" t="s">
        <v>72</v>
      </c>
      <c r="F768" s="21">
        <v>8</v>
      </c>
      <c r="G768" s="23">
        <v>126.5</v>
      </c>
      <c r="H768" s="23">
        <v>23.2</v>
      </c>
      <c r="I768" s="23">
        <v>14.497961224202847</v>
      </c>
    </row>
    <row r="769" spans="1:9" ht="17">
      <c r="A769" s="6" t="s">
        <v>1959</v>
      </c>
      <c r="B769" s="6" t="s">
        <v>1563</v>
      </c>
      <c r="C769" s="6">
        <v>14</v>
      </c>
      <c r="D769" s="6" t="s">
        <v>1577</v>
      </c>
      <c r="E769" s="6" t="s">
        <v>69</v>
      </c>
      <c r="F769" s="21">
        <v>8</v>
      </c>
      <c r="G769" s="23">
        <v>126</v>
      </c>
      <c r="H769" s="23">
        <v>20.2</v>
      </c>
      <c r="I769" s="23">
        <v>12.7236079617032</v>
      </c>
    </row>
    <row r="770" spans="1:9" ht="17">
      <c r="A770" s="6" t="s">
        <v>1960</v>
      </c>
      <c r="B770" s="6" t="s">
        <v>1563</v>
      </c>
      <c r="C770" s="6">
        <v>15</v>
      </c>
      <c r="D770" s="6" t="s">
        <v>1578</v>
      </c>
      <c r="E770" s="6" t="s">
        <v>69</v>
      </c>
      <c r="F770" s="21">
        <v>8</v>
      </c>
      <c r="G770" s="23">
        <v>130.5</v>
      </c>
      <c r="H770" s="23">
        <v>23.9</v>
      </c>
      <c r="I770" s="23">
        <v>14.03385152889711</v>
      </c>
    </row>
    <row r="771" spans="1:9" ht="17">
      <c r="A771" s="6" t="s">
        <v>1961</v>
      </c>
      <c r="B771" s="6" t="s">
        <v>1563</v>
      </c>
      <c r="C771" s="6">
        <v>16</v>
      </c>
      <c r="D771" s="6" t="s">
        <v>1579</v>
      </c>
      <c r="E771" s="6" t="s">
        <v>69</v>
      </c>
      <c r="F771" s="21">
        <v>8</v>
      </c>
      <c r="G771" s="23">
        <v>119.5</v>
      </c>
      <c r="H771" s="23">
        <v>19.100000000000001</v>
      </c>
      <c r="I771" s="23">
        <v>13.375115981863063</v>
      </c>
    </row>
    <row r="772" spans="1:9" ht="17">
      <c r="A772" s="6" t="s">
        <v>1962</v>
      </c>
      <c r="B772" s="6" t="s">
        <v>1563</v>
      </c>
      <c r="C772" s="6">
        <v>17</v>
      </c>
      <c r="D772" s="6" t="s">
        <v>1580</v>
      </c>
      <c r="E772" s="6" t="s">
        <v>72</v>
      </c>
      <c r="F772" s="21">
        <v>8</v>
      </c>
      <c r="G772" s="23">
        <v>128.5</v>
      </c>
      <c r="H772" s="23">
        <v>23.5</v>
      </c>
      <c r="I772" s="23">
        <v>14.231858165907131</v>
      </c>
    </row>
    <row r="773" spans="1:9" ht="17">
      <c r="A773" s="6" t="s">
        <v>1963</v>
      </c>
      <c r="B773" s="6" t="s">
        <v>1563</v>
      </c>
      <c r="C773" s="6">
        <v>18</v>
      </c>
      <c r="D773" s="6" t="s">
        <v>1581</v>
      </c>
      <c r="E773" s="6" t="s">
        <v>69</v>
      </c>
      <c r="F773" s="21">
        <v>8</v>
      </c>
      <c r="G773" s="23">
        <v>121</v>
      </c>
      <c r="H773" s="23">
        <v>21.5</v>
      </c>
      <c r="I773" s="23">
        <v>14.68478929034902</v>
      </c>
    </row>
    <row r="774" spans="1:9" ht="17">
      <c r="A774" s="6" t="s">
        <v>1964</v>
      </c>
      <c r="B774" s="6" t="s">
        <v>1563</v>
      </c>
      <c r="C774" s="6">
        <v>19</v>
      </c>
      <c r="D774" s="6" t="s">
        <v>1582</v>
      </c>
      <c r="E774" s="6" t="s">
        <v>69</v>
      </c>
      <c r="F774" s="21">
        <v>8</v>
      </c>
      <c r="G774" s="23">
        <v>130.5</v>
      </c>
      <c r="H774" s="23">
        <v>28.8</v>
      </c>
      <c r="I774" s="23">
        <v>16.911084687541287</v>
      </c>
    </row>
    <row r="775" spans="1:9" ht="17">
      <c r="A775" s="6" t="s">
        <v>1965</v>
      </c>
      <c r="B775" s="6" t="s">
        <v>1563</v>
      </c>
      <c r="C775" s="6">
        <v>20</v>
      </c>
      <c r="D775" s="6" t="s">
        <v>1583</v>
      </c>
      <c r="E775" s="6" t="s">
        <v>72</v>
      </c>
      <c r="F775" s="21">
        <v>8</v>
      </c>
      <c r="G775" s="23">
        <v>137.5</v>
      </c>
      <c r="H775" s="23">
        <v>28.8</v>
      </c>
      <c r="I775" s="23">
        <v>15.233057851239669</v>
      </c>
    </row>
    <row r="776" spans="1:9" ht="17">
      <c r="A776" s="6" t="s">
        <v>1966</v>
      </c>
      <c r="B776" s="6" t="s">
        <v>1563</v>
      </c>
      <c r="C776" s="6">
        <v>21</v>
      </c>
      <c r="D776" s="6" t="s">
        <v>1584</v>
      </c>
      <c r="E776" s="6" t="s">
        <v>72</v>
      </c>
      <c r="F776" s="21">
        <v>8</v>
      </c>
      <c r="G776" s="23">
        <v>126.5</v>
      </c>
      <c r="H776" s="23">
        <v>22.1</v>
      </c>
      <c r="I776" s="23">
        <v>13.810557890296678</v>
      </c>
    </row>
    <row r="777" spans="1:9" ht="17">
      <c r="A777" s="6" t="s">
        <v>1967</v>
      </c>
      <c r="B777" s="6" t="s">
        <v>1563</v>
      </c>
      <c r="C777" s="6">
        <v>22</v>
      </c>
      <c r="D777" s="6" t="s">
        <v>1585</v>
      </c>
      <c r="E777" s="6" t="s">
        <v>72</v>
      </c>
      <c r="F777" s="21">
        <v>8</v>
      </c>
      <c r="G777" s="23">
        <v>138</v>
      </c>
      <c r="H777" s="23">
        <v>31.6</v>
      </c>
      <c r="I777" s="23">
        <v>16.593152699012812</v>
      </c>
    </row>
    <row r="778" spans="1:9" ht="17">
      <c r="A778" s="6" t="s">
        <v>1968</v>
      </c>
      <c r="B778" s="6" t="s">
        <v>1563</v>
      </c>
      <c r="C778" s="6">
        <v>23</v>
      </c>
      <c r="D778" s="6" t="s">
        <v>1586</v>
      </c>
      <c r="E778" s="6" t="s">
        <v>72</v>
      </c>
      <c r="F778" s="21">
        <v>8</v>
      </c>
      <c r="G778" s="23">
        <v>118.5</v>
      </c>
      <c r="H778" s="23">
        <v>20.7</v>
      </c>
      <c r="I778" s="23">
        <v>14.741227367409069</v>
      </c>
    </row>
    <row r="779" spans="1:9" ht="17">
      <c r="A779" s="6" t="s">
        <v>1969</v>
      </c>
      <c r="B779" s="6" t="s">
        <v>1563</v>
      </c>
      <c r="C779" s="6">
        <v>24</v>
      </c>
      <c r="D779" s="6" t="s">
        <v>1587</v>
      </c>
      <c r="E779" s="6" t="s">
        <v>72</v>
      </c>
      <c r="F779" s="21">
        <v>8</v>
      </c>
      <c r="G779" s="23">
        <v>127</v>
      </c>
      <c r="H779" s="23">
        <v>24.8</v>
      </c>
      <c r="I779" s="23">
        <v>15.376030752061505</v>
      </c>
    </row>
    <row r="780" spans="1:9" ht="17">
      <c r="A780" s="6" t="s">
        <v>1970</v>
      </c>
      <c r="B780" s="6" t="s">
        <v>1563</v>
      </c>
      <c r="C780" s="6">
        <v>25</v>
      </c>
      <c r="D780" s="6" t="s">
        <v>1588</v>
      </c>
      <c r="E780" s="6" t="s">
        <v>69</v>
      </c>
      <c r="F780" s="21">
        <v>8</v>
      </c>
      <c r="G780" s="23">
        <v>123.5</v>
      </c>
      <c r="H780" s="23">
        <v>21.8</v>
      </c>
      <c r="I780" s="23">
        <v>14.292973167893262</v>
      </c>
    </row>
    <row r="781" spans="1:9" ht="17">
      <c r="A781" s="6" t="s">
        <v>1971</v>
      </c>
      <c r="B781" s="6" t="s">
        <v>1563</v>
      </c>
      <c r="C781" s="6">
        <v>26</v>
      </c>
      <c r="D781" s="6" t="s">
        <v>1589</v>
      </c>
      <c r="E781" s="6" t="s">
        <v>69</v>
      </c>
      <c r="F781" s="21">
        <v>7</v>
      </c>
      <c r="G781" s="23">
        <v>121.5</v>
      </c>
      <c r="H781" s="23">
        <v>20.9</v>
      </c>
      <c r="I781" s="23">
        <v>14.15773340784772</v>
      </c>
    </row>
    <row r="782" spans="1:9" ht="17">
      <c r="A782" s="6" t="s">
        <v>1972</v>
      </c>
      <c r="B782" s="6" t="s">
        <v>1563</v>
      </c>
      <c r="C782" s="6">
        <v>27</v>
      </c>
      <c r="D782" s="6" t="s">
        <v>1590</v>
      </c>
      <c r="E782" s="6" t="s">
        <v>69</v>
      </c>
      <c r="F782" s="21">
        <v>8</v>
      </c>
      <c r="G782" s="23">
        <v>127.5</v>
      </c>
      <c r="H782" s="23">
        <v>18.5</v>
      </c>
      <c r="I782" s="23">
        <v>11.380238369857747</v>
      </c>
    </row>
    <row r="783" spans="1:9" ht="17">
      <c r="A783" s="6" t="s">
        <v>1973</v>
      </c>
      <c r="B783" s="6" t="s">
        <v>1563</v>
      </c>
      <c r="C783" s="6">
        <v>28</v>
      </c>
      <c r="D783" s="6" t="s">
        <v>1591</v>
      </c>
      <c r="E783" s="6" t="s">
        <v>72</v>
      </c>
      <c r="F783" s="21">
        <v>8</v>
      </c>
      <c r="G783" s="23">
        <v>128.5</v>
      </c>
      <c r="H783" s="23">
        <v>24.8</v>
      </c>
      <c r="I783" s="23">
        <v>15.019152447425398</v>
      </c>
    </row>
    <row r="784" spans="1:9" ht="17">
      <c r="A784" s="6" t="s">
        <v>1974</v>
      </c>
      <c r="B784" s="6" t="s">
        <v>1563</v>
      </c>
      <c r="C784" s="6">
        <v>29</v>
      </c>
      <c r="D784" s="6" t="s">
        <v>1592</v>
      </c>
      <c r="E784" s="6" t="s">
        <v>69</v>
      </c>
      <c r="F784" s="21">
        <v>8</v>
      </c>
      <c r="G784" s="23">
        <v>127.5</v>
      </c>
      <c r="H784" s="23">
        <v>29</v>
      </c>
      <c r="I784" s="23">
        <v>17.839292579777009</v>
      </c>
    </row>
    <row r="785" spans="1:9" ht="17">
      <c r="A785" s="6" t="s">
        <v>1975</v>
      </c>
      <c r="B785" s="6" t="s">
        <v>1563</v>
      </c>
      <c r="C785" s="6">
        <v>30</v>
      </c>
      <c r="D785" s="6" t="s">
        <v>1593</v>
      </c>
      <c r="E785" s="6" t="s">
        <v>69</v>
      </c>
      <c r="F785" s="21">
        <v>8</v>
      </c>
      <c r="G785" s="23">
        <v>128</v>
      </c>
      <c r="H785" s="23">
        <v>29.7</v>
      </c>
      <c r="I785" s="23">
        <v>18.12744140625</v>
      </c>
    </row>
    <row r="786" spans="1:9" ht="17">
      <c r="A786" s="6" t="s">
        <v>1976</v>
      </c>
      <c r="B786" s="6" t="s">
        <v>1594</v>
      </c>
      <c r="C786" s="6">
        <v>1</v>
      </c>
      <c r="D786" s="6" t="s">
        <v>1595</v>
      </c>
      <c r="E786" s="6" t="s">
        <v>72</v>
      </c>
      <c r="F786" s="21">
        <v>8</v>
      </c>
      <c r="G786" s="23">
        <v>135</v>
      </c>
      <c r="H786" s="23">
        <v>38.799999999999997</v>
      </c>
      <c r="I786" s="23">
        <v>21.289437585733879</v>
      </c>
    </row>
    <row r="787" spans="1:9" ht="17">
      <c r="A787" s="6" t="s">
        <v>1977</v>
      </c>
      <c r="B787" s="6" t="s">
        <v>1594</v>
      </c>
      <c r="C787" s="6">
        <v>2</v>
      </c>
      <c r="D787" s="6" t="s">
        <v>1596</v>
      </c>
      <c r="E787" s="6" t="s">
        <v>69</v>
      </c>
      <c r="F787" s="21">
        <v>8</v>
      </c>
      <c r="G787" s="23">
        <v>123.5</v>
      </c>
      <c r="H787" s="23">
        <v>23.2</v>
      </c>
      <c r="I787" s="23">
        <v>15.210870527299249</v>
      </c>
    </row>
    <row r="788" spans="1:9" ht="17">
      <c r="A788" s="6" t="s">
        <v>1978</v>
      </c>
      <c r="B788" s="6" t="s">
        <v>1594</v>
      </c>
      <c r="C788" s="6">
        <v>3</v>
      </c>
      <c r="D788" s="6" t="s">
        <v>1597</v>
      </c>
      <c r="E788" s="6" t="s">
        <v>69</v>
      </c>
      <c r="F788" s="21">
        <v>8</v>
      </c>
      <c r="G788" s="23">
        <v>128.5</v>
      </c>
      <c r="H788" s="23">
        <v>23.9</v>
      </c>
      <c r="I788" s="23">
        <v>14.474102560220443</v>
      </c>
    </row>
    <row r="789" spans="1:9" ht="17">
      <c r="A789" s="6" t="s">
        <v>1979</v>
      </c>
      <c r="B789" s="6" t="s">
        <v>1594</v>
      </c>
      <c r="C789" s="6">
        <v>4</v>
      </c>
      <c r="D789" s="6" t="s">
        <v>1598</v>
      </c>
      <c r="E789" s="6" t="s">
        <v>72</v>
      </c>
      <c r="F789" s="21">
        <v>8</v>
      </c>
      <c r="G789" s="23">
        <v>133.5</v>
      </c>
      <c r="H789" s="23">
        <v>28.5</v>
      </c>
      <c r="I789" s="23">
        <v>15.991246896435635</v>
      </c>
    </row>
    <row r="790" spans="1:9" ht="17">
      <c r="A790" s="6" t="s">
        <v>1980</v>
      </c>
      <c r="B790" s="6" t="s">
        <v>1594</v>
      </c>
      <c r="C790" s="6">
        <v>5</v>
      </c>
      <c r="D790" s="6" t="s">
        <v>1599</v>
      </c>
      <c r="E790" s="6" t="s">
        <v>72</v>
      </c>
      <c r="F790" s="21">
        <v>8</v>
      </c>
      <c r="G790" s="23">
        <v>140</v>
      </c>
      <c r="H790" s="23">
        <v>52.5</v>
      </c>
      <c r="I790" s="23">
        <v>26.785714285714285</v>
      </c>
    </row>
    <row r="791" spans="1:9" ht="17">
      <c r="A791" s="6" t="s">
        <v>1981</v>
      </c>
      <c r="B791" s="6" t="s">
        <v>1594</v>
      </c>
      <c r="C791" s="6">
        <v>6</v>
      </c>
      <c r="D791" s="6" t="s">
        <v>1600</v>
      </c>
      <c r="E791" s="6" t="s">
        <v>69</v>
      </c>
      <c r="F791" s="21">
        <v>8</v>
      </c>
      <c r="G791" s="23">
        <v>130.5</v>
      </c>
      <c r="H791" s="23">
        <v>23.9</v>
      </c>
      <c r="I791" s="23">
        <v>14.03385152889711</v>
      </c>
    </row>
    <row r="792" spans="1:9" ht="17">
      <c r="A792" s="6" t="s">
        <v>1982</v>
      </c>
      <c r="B792" s="6" t="s">
        <v>1594</v>
      </c>
      <c r="C792" s="6">
        <v>7</v>
      </c>
      <c r="D792" s="6" t="s">
        <v>1601</v>
      </c>
      <c r="E792" s="6" t="s">
        <v>72</v>
      </c>
      <c r="F792" s="21">
        <v>8</v>
      </c>
      <c r="G792" s="23">
        <v>134</v>
      </c>
      <c r="H792" s="23">
        <v>32.299999999999997</v>
      </c>
      <c r="I792" s="23">
        <v>17.988416128313652</v>
      </c>
    </row>
    <row r="793" spans="1:9" ht="17">
      <c r="A793" s="6" t="s">
        <v>1983</v>
      </c>
      <c r="B793" s="6" t="s">
        <v>1594</v>
      </c>
      <c r="C793" s="6">
        <v>8</v>
      </c>
      <c r="D793" s="6" t="s">
        <v>1602</v>
      </c>
      <c r="E793" s="6" t="s">
        <v>69</v>
      </c>
      <c r="F793" s="21">
        <v>7</v>
      </c>
      <c r="G793" s="23">
        <v>125.5</v>
      </c>
      <c r="H793" s="23">
        <v>25.3</v>
      </c>
      <c r="I793" s="23">
        <v>16.06323709147474</v>
      </c>
    </row>
    <row r="794" spans="1:9" ht="17">
      <c r="A794" s="6" t="s">
        <v>1984</v>
      </c>
      <c r="B794" s="6" t="s">
        <v>1594</v>
      </c>
      <c r="C794" s="6">
        <v>9</v>
      </c>
      <c r="D794" s="6" t="s">
        <v>1603</v>
      </c>
      <c r="E794" s="6" t="s">
        <v>69</v>
      </c>
      <c r="F794" s="21">
        <v>8</v>
      </c>
      <c r="G794" s="23">
        <v>134</v>
      </c>
      <c r="H794" s="23">
        <v>29.1</v>
      </c>
      <c r="I794" s="23">
        <v>16.20628202272221</v>
      </c>
    </row>
    <row r="795" spans="1:9" ht="17">
      <c r="A795" s="6" t="s">
        <v>1985</v>
      </c>
      <c r="B795" s="6" t="s">
        <v>1594</v>
      </c>
      <c r="C795" s="6">
        <v>10</v>
      </c>
      <c r="D795" s="6" t="s">
        <v>1604</v>
      </c>
      <c r="E795" s="6" t="s">
        <v>69</v>
      </c>
      <c r="F795" s="21">
        <v>8</v>
      </c>
      <c r="G795" s="23">
        <v>123.5</v>
      </c>
      <c r="H795" s="23">
        <v>22</v>
      </c>
      <c r="I795" s="23">
        <v>14.424101362094117</v>
      </c>
    </row>
    <row r="796" spans="1:9" ht="17">
      <c r="A796" s="6" t="s">
        <v>1986</v>
      </c>
      <c r="B796" s="6" t="s">
        <v>1594</v>
      </c>
      <c r="C796" s="6">
        <v>11</v>
      </c>
      <c r="D796" s="6" t="s">
        <v>1605</v>
      </c>
      <c r="E796" s="6" t="s">
        <v>72</v>
      </c>
      <c r="F796" s="21">
        <v>8</v>
      </c>
      <c r="G796" s="23">
        <v>134.5</v>
      </c>
      <c r="H796" s="23">
        <v>37.4</v>
      </c>
      <c r="I796" s="23">
        <v>20.674120037036523</v>
      </c>
    </row>
    <row r="797" spans="1:9" ht="17">
      <c r="A797" s="6" t="s">
        <v>1987</v>
      </c>
      <c r="B797" s="6" t="s">
        <v>1594</v>
      </c>
      <c r="C797" s="6">
        <v>12</v>
      </c>
      <c r="D797" s="6" t="s">
        <v>1606</v>
      </c>
      <c r="E797" s="6" t="s">
        <v>69</v>
      </c>
      <c r="F797" s="21">
        <v>8</v>
      </c>
      <c r="G797" s="23">
        <v>123</v>
      </c>
      <c r="H797" s="23">
        <v>20.3</v>
      </c>
      <c r="I797" s="23">
        <v>13.417939057439357</v>
      </c>
    </row>
    <row r="798" spans="1:9" ht="17">
      <c r="A798" s="6" t="s">
        <v>1988</v>
      </c>
      <c r="B798" s="6" t="s">
        <v>1594</v>
      </c>
      <c r="C798" s="6">
        <v>13</v>
      </c>
      <c r="D798" s="6" t="s">
        <v>1607</v>
      </c>
      <c r="E798" s="6" t="s">
        <v>69</v>
      </c>
      <c r="F798" s="21">
        <v>8</v>
      </c>
      <c r="G798" s="23">
        <v>122.5</v>
      </c>
      <c r="H798" s="23">
        <v>20.7</v>
      </c>
      <c r="I798" s="23">
        <v>13.794252394835484</v>
      </c>
    </row>
    <row r="799" spans="1:9" ht="17">
      <c r="A799" s="6" t="s">
        <v>1989</v>
      </c>
      <c r="B799" s="6" t="s">
        <v>1594</v>
      </c>
      <c r="C799" s="6">
        <v>14</v>
      </c>
      <c r="D799" s="6" t="s">
        <v>1608</v>
      </c>
      <c r="E799" s="6" t="s">
        <v>72</v>
      </c>
      <c r="F799" s="21">
        <v>7</v>
      </c>
      <c r="G799" s="23">
        <v>129</v>
      </c>
      <c r="H799" s="23">
        <v>28.5</v>
      </c>
      <c r="I799" s="23">
        <v>17.126374616910041</v>
      </c>
    </row>
    <row r="800" spans="1:9" ht="17">
      <c r="A800" s="6" t="s">
        <v>1990</v>
      </c>
      <c r="B800" s="6" t="s">
        <v>1594</v>
      </c>
      <c r="C800" s="6">
        <v>15</v>
      </c>
      <c r="D800" s="6" t="s">
        <v>1609</v>
      </c>
      <c r="E800" s="6" t="s">
        <v>69</v>
      </c>
      <c r="F800" s="21">
        <v>8</v>
      </c>
      <c r="G800" s="23">
        <v>124</v>
      </c>
      <c r="H800" s="23">
        <v>24</v>
      </c>
      <c r="I800" s="23">
        <v>15.608740894901144</v>
      </c>
    </row>
    <row r="801" spans="1:9" ht="17">
      <c r="A801" s="6" t="s">
        <v>1991</v>
      </c>
      <c r="B801" s="6" t="s">
        <v>1594</v>
      </c>
      <c r="C801" s="6">
        <v>16</v>
      </c>
      <c r="D801" s="6" t="s">
        <v>1610</v>
      </c>
      <c r="E801" s="6" t="s">
        <v>72</v>
      </c>
      <c r="F801" s="21">
        <v>8</v>
      </c>
      <c r="G801" s="23">
        <v>125.5</v>
      </c>
      <c r="H801" s="23">
        <v>34.299999999999997</v>
      </c>
      <c r="I801" s="23">
        <v>21.777432104252313</v>
      </c>
    </row>
    <row r="802" spans="1:9" ht="17">
      <c r="A802" s="6" t="s">
        <v>1992</v>
      </c>
      <c r="B802" s="6" t="s">
        <v>1594</v>
      </c>
      <c r="C802" s="6">
        <v>17</v>
      </c>
      <c r="D802" s="6" t="s">
        <v>1611</v>
      </c>
      <c r="E802" s="6" t="s">
        <v>72</v>
      </c>
      <c r="F802" s="21">
        <v>8</v>
      </c>
      <c r="G802" s="23">
        <v>130.5</v>
      </c>
      <c r="H802" s="23">
        <v>26.6</v>
      </c>
      <c r="I802" s="23">
        <v>15.619265718354105</v>
      </c>
    </row>
    <row r="803" spans="1:9" ht="17">
      <c r="A803" s="6" t="s">
        <v>1993</v>
      </c>
      <c r="B803" s="6" t="s">
        <v>1594</v>
      </c>
      <c r="C803" s="6">
        <v>18</v>
      </c>
      <c r="D803" s="6" t="s">
        <v>1612</v>
      </c>
      <c r="E803" s="6" t="s">
        <v>69</v>
      </c>
      <c r="F803" s="21">
        <v>8</v>
      </c>
      <c r="G803" s="23">
        <v>136.5</v>
      </c>
      <c r="H803" s="23">
        <v>30.4</v>
      </c>
      <c r="I803" s="23">
        <v>16.315796535576755</v>
      </c>
    </row>
    <row r="804" spans="1:9" ht="17">
      <c r="A804" s="6" t="s">
        <v>1994</v>
      </c>
      <c r="B804" s="6" t="s">
        <v>1594</v>
      </c>
      <c r="C804" s="6">
        <v>19</v>
      </c>
      <c r="D804" s="6" t="s">
        <v>1613</v>
      </c>
      <c r="E804" s="6" t="s">
        <v>69</v>
      </c>
      <c r="F804" s="21">
        <v>8</v>
      </c>
      <c r="G804" s="23">
        <v>128.5</v>
      </c>
      <c r="H804" s="23">
        <v>27.6</v>
      </c>
      <c r="I804" s="23">
        <v>16.714863207618588</v>
      </c>
    </row>
    <row r="805" spans="1:9" ht="17">
      <c r="A805" s="6" t="s">
        <v>1995</v>
      </c>
      <c r="B805" s="6" t="s">
        <v>1594</v>
      </c>
      <c r="C805" s="6">
        <v>20</v>
      </c>
      <c r="D805" s="6" t="s">
        <v>1614</v>
      </c>
      <c r="E805" s="6" t="s">
        <v>69</v>
      </c>
      <c r="F805" s="21">
        <v>7</v>
      </c>
      <c r="G805" s="23">
        <v>130</v>
      </c>
      <c r="H805" s="23">
        <v>27.4</v>
      </c>
      <c r="I805" s="23">
        <v>16.213017751479288</v>
      </c>
    </row>
    <row r="806" spans="1:9" ht="17">
      <c r="A806" s="6" t="s">
        <v>1996</v>
      </c>
      <c r="B806" s="6" t="s">
        <v>1594</v>
      </c>
      <c r="C806" s="6">
        <v>21</v>
      </c>
      <c r="D806" s="6" t="s">
        <v>1615</v>
      </c>
      <c r="E806" s="6" t="s">
        <v>69</v>
      </c>
      <c r="F806" s="21">
        <v>8</v>
      </c>
      <c r="G806" s="23">
        <v>131.5</v>
      </c>
      <c r="H806" s="23">
        <v>22.8</v>
      </c>
      <c r="I806" s="23">
        <v>13.185097370209197</v>
      </c>
    </row>
    <row r="807" spans="1:9" ht="17">
      <c r="A807" s="6" t="s">
        <v>1997</v>
      </c>
      <c r="B807" s="6" t="s">
        <v>1594</v>
      </c>
      <c r="C807" s="6">
        <v>22</v>
      </c>
      <c r="D807" s="6" t="s">
        <v>1616</v>
      </c>
      <c r="E807" s="6" t="s">
        <v>72</v>
      </c>
      <c r="F807" s="21">
        <v>8</v>
      </c>
      <c r="G807" s="23">
        <v>129</v>
      </c>
      <c r="H807" s="23">
        <v>26.5</v>
      </c>
      <c r="I807" s="23">
        <v>15.924523766600565</v>
      </c>
    </row>
    <row r="808" spans="1:9" ht="17">
      <c r="A808" s="6" t="s">
        <v>1998</v>
      </c>
      <c r="B808" s="6" t="s">
        <v>1594</v>
      </c>
      <c r="C808" s="6">
        <v>23</v>
      </c>
      <c r="D808" s="6" t="s">
        <v>1617</v>
      </c>
      <c r="E808" s="6" t="s">
        <v>69</v>
      </c>
      <c r="F808" s="21">
        <v>8</v>
      </c>
      <c r="G808" s="23">
        <v>135</v>
      </c>
      <c r="H808" s="23">
        <v>30.5</v>
      </c>
      <c r="I808" s="23">
        <v>16.735253772290811</v>
      </c>
    </row>
    <row r="809" spans="1:9" ht="17">
      <c r="A809" s="6" t="s">
        <v>1999</v>
      </c>
      <c r="B809" s="6" t="s">
        <v>1594</v>
      </c>
      <c r="C809" s="6">
        <v>24</v>
      </c>
      <c r="D809" s="6" t="s">
        <v>1618</v>
      </c>
      <c r="E809" s="6" t="s">
        <v>69</v>
      </c>
      <c r="F809" s="21">
        <v>7</v>
      </c>
      <c r="G809" s="23">
        <v>125</v>
      </c>
      <c r="H809" s="23">
        <v>21.8</v>
      </c>
      <c r="I809" s="23">
        <v>13.952</v>
      </c>
    </row>
    <row r="810" spans="1:9" ht="17">
      <c r="A810" s="6" t="s">
        <v>2000</v>
      </c>
      <c r="B810" s="6" t="s">
        <v>1594</v>
      </c>
      <c r="C810" s="6">
        <v>25</v>
      </c>
      <c r="D810" s="6" t="s">
        <v>1619</v>
      </c>
      <c r="E810" s="6" t="s">
        <v>72</v>
      </c>
      <c r="F810" s="21">
        <v>8</v>
      </c>
      <c r="G810" s="23">
        <v>129.5</v>
      </c>
      <c r="H810" s="23">
        <v>23.9</v>
      </c>
      <c r="I810" s="23">
        <v>14.251427378840505</v>
      </c>
    </row>
    <row r="811" spans="1:9" ht="17">
      <c r="A811" s="6" t="s">
        <v>2001</v>
      </c>
      <c r="B811" s="6" t="s">
        <v>1594</v>
      </c>
      <c r="C811" s="6">
        <v>26</v>
      </c>
      <c r="D811" s="6" t="s">
        <v>1620</v>
      </c>
      <c r="E811" s="6" t="s">
        <v>72</v>
      </c>
      <c r="F811" s="21">
        <v>8</v>
      </c>
      <c r="G811" s="23">
        <v>123</v>
      </c>
      <c r="H811" s="23">
        <v>24.3</v>
      </c>
      <c r="I811" s="23">
        <v>16.061867935752531</v>
      </c>
    </row>
    <row r="812" spans="1:9" ht="17">
      <c r="A812" s="6" t="s">
        <v>2002</v>
      </c>
      <c r="B812" s="6" t="s">
        <v>1594</v>
      </c>
      <c r="C812" s="6">
        <v>27</v>
      </c>
      <c r="D812" s="6" t="s">
        <v>1621</v>
      </c>
      <c r="E812" s="6" t="s">
        <v>72</v>
      </c>
      <c r="F812" s="21">
        <v>8</v>
      </c>
      <c r="G812" s="23">
        <v>136.5</v>
      </c>
      <c r="H812" s="23">
        <v>32.5</v>
      </c>
      <c r="I812" s="23">
        <v>17.44287458573173</v>
      </c>
    </row>
    <row r="813" spans="1:9" ht="17">
      <c r="A813" s="6" t="s">
        <v>2003</v>
      </c>
      <c r="B813" s="6" t="s">
        <v>1594</v>
      </c>
      <c r="C813" s="6">
        <v>28</v>
      </c>
      <c r="D813" s="6" t="s">
        <v>1622</v>
      </c>
      <c r="E813" s="6" t="s">
        <v>69</v>
      </c>
      <c r="F813" s="21">
        <v>8</v>
      </c>
      <c r="G813" s="23">
        <v>125</v>
      </c>
      <c r="H813" s="23">
        <v>19.3</v>
      </c>
      <c r="I813" s="23">
        <v>12.352</v>
      </c>
    </row>
    <row r="814" spans="1:9" ht="17">
      <c r="A814" s="6" t="s">
        <v>2004</v>
      </c>
      <c r="B814" s="6" t="s">
        <v>1594</v>
      </c>
      <c r="C814" s="6">
        <v>29</v>
      </c>
      <c r="D814" s="6" t="s">
        <v>1623</v>
      </c>
      <c r="E814" s="6" t="s">
        <v>72</v>
      </c>
      <c r="F814" s="21">
        <v>8</v>
      </c>
      <c r="G814" s="23">
        <v>133.5</v>
      </c>
      <c r="H814" s="23">
        <v>25.4</v>
      </c>
      <c r="I814" s="23">
        <v>14.251848111209302</v>
      </c>
    </row>
    <row r="815" spans="1:9" ht="17">
      <c r="A815" s="6" t="s">
        <v>2005</v>
      </c>
      <c r="B815" s="6" t="s">
        <v>1624</v>
      </c>
      <c r="C815" s="6">
        <v>1</v>
      </c>
      <c r="D815" s="6" t="s">
        <v>1625</v>
      </c>
      <c r="E815" s="6" t="s">
        <v>69</v>
      </c>
      <c r="F815" s="21">
        <v>9</v>
      </c>
      <c r="G815" s="23">
        <v>129.5</v>
      </c>
      <c r="H815" s="23">
        <v>25.1</v>
      </c>
      <c r="I815" s="23">
        <v>14.966980217945469</v>
      </c>
    </row>
    <row r="816" spans="1:9" ht="17">
      <c r="A816" s="6" t="s">
        <v>2006</v>
      </c>
      <c r="B816" s="6" t="s">
        <v>1624</v>
      </c>
      <c r="C816" s="6">
        <v>2</v>
      </c>
      <c r="D816" s="6" t="s">
        <v>1626</v>
      </c>
      <c r="E816" s="6" t="s">
        <v>72</v>
      </c>
      <c r="F816" s="21">
        <v>9</v>
      </c>
      <c r="G816" s="23">
        <v>137.5</v>
      </c>
      <c r="H816" s="23">
        <v>25.4</v>
      </c>
      <c r="I816" s="23">
        <v>13.434710743801652</v>
      </c>
    </row>
    <row r="817" spans="1:9" ht="17">
      <c r="A817" s="6" t="s">
        <v>2007</v>
      </c>
      <c r="B817" s="6" t="s">
        <v>1624</v>
      </c>
      <c r="C817" s="6">
        <v>3</v>
      </c>
      <c r="D817" s="6" t="s">
        <v>1627</v>
      </c>
      <c r="E817" s="6" t="s">
        <v>69</v>
      </c>
      <c r="F817" s="21">
        <v>9</v>
      </c>
      <c r="G817" s="23">
        <v>133</v>
      </c>
      <c r="H817" s="23">
        <v>34.9</v>
      </c>
      <c r="I817" s="23">
        <v>19.729775566736389</v>
      </c>
    </row>
    <row r="818" spans="1:9" ht="17">
      <c r="A818" s="6" t="s">
        <v>2008</v>
      </c>
      <c r="B818" s="6" t="s">
        <v>1624</v>
      </c>
      <c r="C818" s="6">
        <v>4</v>
      </c>
      <c r="D818" s="6" t="s">
        <v>1628</v>
      </c>
      <c r="E818" s="6" t="s">
        <v>72</v>
      </c>
      <c r="F818" s="21">
        <v>9</v>
      </c>
      <c r="G818" s="23">
        <v>135</v>
      </c>
      <c r="H818" s="23">
        <v>31.4</v>
      </c>
      <c r="I818" s="23">
        <v>17.229080932784637</v>
      </c>
    </row>
    <row r="819" spans="1:9" ht="17">
      <c r="A819" s="6" t="s">
        <v>2009</v>
      </c>
      <c r="B819" s="6" t="s">
        <v>1624</v>
      </c>
      <c r="C819" s="6">
        <v>5</v>
      </c>
      <c r="D819" s="6" t="s">
        <v>1629</v>
      </c>
      <c r="E819" s="6" t="s">
        <v>72</v>
      </c>
      <c r="F819" s="21">
        <v>9</v>
      </c>
      <c r="G819" s="23">
        <v>129.5</v>
      </c>
      <c r="H819" s="23">
        <v>24.1</v>
      </c>
      <c r="I819" s="23">
        <v>14.370686185358</v>
      </c>
    </row>
    <row r="820" spans="1:9" ht="17">
      <c r="A820" s="6" t="s">
        <v>2010</v>
      </c>
      <c r="B820" s="6" t="s">
        <v>1624</v>
      </c>
      <c r="C820" s="6">
        <v>6</v>
      </c>
      <c r="D820" s="6" t="s">
        <v>1630</v>
      </c>
      <c r="E820" s="6" t="s">
        <v>69</v>
      </c>
      <c r="F820" s="21">
        <v>9</v>
      </c>
      <c r="G820" s="23">
        <v>146</v>
      </c>
      <c r="H820" s="23">
        <v>53.3</v>
      </c>
      <c r="I820" s="23">
        <v>25.004691311690745</v>
      </c>
    </row>
    <row r="821" spans="1:9" ht="17">
      <c r="A821" s="6" t="s">
        <v>2011</v>
      </c>
      <c r="B821" s="6" t="s">
        <v>1624</v>
      </c>
      <c r="C821" s="6">
        <v>7</v>
      </c>
      <c r="D821" s="6" t="s">
        <v>1631</v>
      </c>
      <c r="E821" s="6" t="s">
        <v>69</v>
      </c>
      <c r="F821" s="21">
        <v>8</v>
      </c>
      <c r="G821" s="23">
        <v>145.5</v>
      </c>
      <c r="H821" s="23">
        <v>38.9</v>
      </c>
      <c r="I821" s="23">
        <v>18.374842054297893</v>
      </c>
    </row>
    <row r="822" spans="1:9" ht="17">
      <c r="A822" s="6" t="s">
        <v>2012</v>
      </c>
      <c r="B822" s="6" t="s">
        <v>1624</v>
      </c>
      <c r="C822" s="6">
        <v>8</v>
      </c>
      <c r="D822" s="6" t="s">
        <v>1632</v>
      </c>
      <c r="E822" s="6" t="s">
        <v>72</v>
      </c>
      <c r="F822" s="21">
        <v>9</v>
      </c>
      <c r="G822" s="23">
        <v>136</v>
      </c>
      <c r="H822" s="23">
        <v>25.9</v>
      </c>
      <c r="I822" s="23">
        <v>14.0030276816609</v>
      </c>
    </row>
    <row r="823" spans="1:9" ht="17">
      <c r="A823" s="6" t="s">
        <v>2013</v>
      </c>
      <c r="B823" s="6" t="s">
        <v>1624</v>
      </c>
      <c r="C823" s="6">
        <v>9</v>
      </c>
      <c r="D823" s="6" t="s">
        <v>1633</v>
      </c>
      <c r="E823" s="6" t="s">
        <v>72</v>
      </c>
      <c r="F823" s="21">
        <v>9</v>
      </c>
      <c r="G823" s="23">
        <v>144</v>
      </c>
      <c r="H823" s="23">
        <v>47.5</v>
      </c>
      <c r="I823" s="23">
        <v>22.907021604938272</v>
      </c>
    </row>
    <row r="824" spans="1:9" ht="17">
      <c r="A824" s="6" t="s">
        <v>2014</v>
      </c>
      <c r="B824" s="6" t="s">
        <v>1624</v>
      </c>
      <c r="C824" s="6">
        <v>10</v>
      </c>
      <c r="D824" s="6" t="s">
        <v>1634</v>
      </c>
      <c r="E824" s="6" t="s">
        <v>72</v>
      </c>
      <c r="F824" s="21">
        <v>9</v>
      </c>
      <c r="G824" s="23">
        <v>135</v>
      </c>
      <c r="H824" s="23">
        <v>34.9</v>
      </c>
      <c r="I824" s="23">
        <v>19.149519890260631</v>
      </c>
    </row>
    <row r="825" spans="1:9" ht="17">
      <c r="A825" s="6" t="s">
        <v>2015</v>
      </c>
      <c r="B825" s="6" t="s">
        <v>1624</v>
      </c>
      <c r="C825" s="6">
        <v>11</v>
      </c>
      <c r="D825" s="6" t="s">
        <v>1635</v>
      </c>
      <c r="E825" s="6" t="s">
        <v>72</v>
      </c>
      <c r="F825" s="21">
        <v>9</v>
      </c>
      <c r="G825" s="23">
        <v>153.5</v>
      </c>
      <c r="H825" s="23">
        <v>45.1</v>
      </c>
      <c r="I825" s="23">
        <v>19.140786639646045</v>
      </c>
    </row>
    <row r="826" spans="1:9" ht="17">
      <c r="A826" s="6" t="s">
        <v>2016</v>
      </c>
      <c r="B826" s="6" t="s">
        <v>1624</v>
      </c>
      <c r="C826" s="6">
        <v>12</v>
      </c>
      <c r="D826" s="6" t="s">
        <v>1636</v>
      </c>
      <c r="E826" s="6" t="s">
        <v>69</v>
      </c>
      <c r="F826" s="21">
        <v>9</v>
      </c>
      <c r="G826" s="23">
        <v>150</v>
      </c>
      <c r="H826" s="23">
        <v>42.3</v>
      </c>
      <c r="I826" s="23">
        <v>18.799999999999997</v>
      </c>
    </row>
    <row r="827" spans="1:9" ht="17">
      <c r="A827" s="6" t="s">
        <v>2017</v>
      </c>
      <c r="B827" s="6" t="s">
        <v>1624</v>
      </c>
      <c r="C827" s="6">
        <v>13</v>
      </c>
      <c r="D827" s="6" t="s">
        <v>1637</v>
      </c>
      <c r="E827" s="6" t="s">
        <v>72</v>
      </c>
      <c r="F827" s="21">
        <v>8</v>
      </c>
      <c r="G827" s="23">
        <v>122.5</v>
      </c>
      <c r="H827" s="23">
        <v>28.1</v>
      </c>
      <c r="I827" s="23">
        <v>18.725531028738025</v>
      </c>
    </row>
    <row r="828" spans="1:9" ht="17">
      <c r="A828" s="6" t="s">
        <v>2018</v>
      </c>
      <c r="B828" s="6" t="s">
        <v>1624</v>
      </c>
      <c r="C828" s="6">
        <v>14</v>
      </c>
      <c r="D828" s="6" t="s">
        <v>1638</v>
      </c>
      <c r="E828" s="6" t="s">
        <v>69</v>
      </c>
      <c r="F828" s="21">
        <v>9</v>
      </c>
      <c r="G828" s="23">
        <v>133.5</v>
      </c>
      <c r="H828" s="23">
        <v>28.8</v>
      </c>
      <c r="I828" s="23">
        <v>16.15957581113496</v>
      </c>
    </row>
    <row r="829" spans="1:9" ht="17">
      <c r="A829" s="6" t="s">
        <v>2019</v>
      </c>
      <c r="B829" s="6" t="s">
        <v>1624</v>
      </c>
      <c r="C829" s="6">
        <v>15</v>
      </c>
      <c r="D829" s="6" t="s">
        <v>1639</v>
      </c>
      <c r="E829" s="6" t="s">
        <v>72</v>
      </c>
      <c r="F829" s="21">
        <v>9</v>
      </c>
      <c r="G829" s="23">
        <v>137</v>
      </c>
      <c r="H829" s="23">
        <v>35.4</v>
      </c>
      <c r="I829" s="23">
        <v>18.860887633864351</v>
      </c>
    </row>
    <row r="830" spans="1:9" ht="17">
      <c r="A830" s="6" t="s">
        <v>2020</v>
      </c>
      <c r="B830" s="6" t="s">
        <v>1624</v>
      </c>
      <c r="C830" s="6">
        <v>16</v>
      </c>
      <c r="D830" s="6" t="s">
        <v>1640</v>
      </c>
      <c r="E830" s="6" t="s">
        <v>72</v>
      </c>
      <c r="F830" s="21">
        <v>9</v>
      </c>
      <c r="G830" s="23">
        <v>141</v>
      </c>
      <c r="H830" s="23">
        <v>29.2</v>
      </c>
      <c r="I830" s="23">
        <v>14.687389970323425</v>
      </c>
    </row>
    <row r="831" spans="1:9" ht="17">
      <c r="A831" s="6" t="s">
        <v>2021</v>
      </c>
      <c r="B831" s="6" t="s">
        <v>1624</v>
      </c>
      <c r="C831" s="6">
        <v>17</v>
      </c>
      <c r="D831" s="6" t="s">
        <v>1641</v>
      </c>
      <c r="E831" s="6" t="s">
        <v>69</v>
      </c>
      <c r="F831" s="21">
        <v>9</v>
      </c>
      <c r="G831" s="23">
        <v>137</v>
      </c>
      <c r="H831" s="23">
        <v>32.299999999999997</v>
      </c>
      <c r="I831" s="23">
        <v>17.209227982311255</v>
      </c>
    </row>
    <row r="832" spans="1:9" ht="17">
      <c r="A832" s="6" t="s">
        <v>2022</v>
      </c>
      <c r="B832" s="6" t="s">
        <v>1624</v>
      </c>
      <c r="C832" s="6">
        <v>18</v>
      </c>
      <c r="D832" s="6" t="s">
        <v>1642</v>
      </c>
      <c r="E832" s="6" t="s">
        <v>72</v>
      </c>
      <c r="F832" s="21">
        <v>9</v>
      </c>
      <c r="G832" s="23">
        <v>134</v>
      </c>
      <c r="H832" s="23">
        <v>26</v>
      </c>
      <c r="I832" s="23">
        <v>14.479839607930495</v>
      </c>
    </row>
    <row r="833" spans="1:9" ht="17">
      <c r="A833" s="6" t="s">
        <v>2023</v>
      </c>
      <c r="B833" s="6" t="s">
        <v>1624</v>
      </c>
      <c r="C833" s="6">
        <v>19</v>
      </c>
      <c r="D833" s="6" t="s">
        <v>1643</v>
      </c>
      <c r="E833" s="6" t="s">
        <v>69</v>
      </c>
      <c r="F833" s="21">
        <v>9</v>
      </c>
      <c r="G833" s="23">
        <v>129</v>
      </c>
      <c r="H833" s="23">
        <v>25.6</v>
      </c>
      <c r="I833" s="23">
        <v>15.383690883961302</v>
      </c>
    </row>
    <row r="834" spans="1:9" ht="17">
      <c r="A834" s="6" t="s">
        <v>2024</v>
      </c>
      <c r="B834" s="6" t="s">
        <v>1624</v>
      </c>
      <c r="C834" s="6">
        <v>20</v>
      </c>
      <c r="D834" s="6" t="s">
        <v>1644</v>
      </c>
      <c r="E834" s="6" t="s">
        <v>72</v>
      </c>
      <c r="F834" s="21">
        <v>9</v>
      </c>
      <c r="G834" s="23">
        <v>131.5</v>
      </c>
      <c r="H834" s="23">
        <v>35.9</v>
      </c>
      <c r="I834" s="23">
        <v>20.760745420636411</v>
      </c>
    </row>
    <row r="835" spans="1:9" ht="17">
      <c r="A835" s="6" t="s">
        <v>2025</v>
      </c>
      <c r="B835" s="6" t="s">
        <v>1624</v>
      </c>
      <c r="C835" s="6">
        <v>21</v>
      </c>
      <c r="D835" s="6" t="s">
        <v>1645</v>
      </c>
      <c r="E835" s="6" t="s">
        <v>72</v>
      </c>
      <c r="F835" s="21">
        <v>8</v>
      </c>
      <c r="G835" s="23">
        <v>132.5</v>
      </c>
      <c r="H835" s="23">
        <v>38.1</v>
      </c>
      <c r="I835" s="23">
        <v>21.701673193307229</v>
      </c>
    </row>
    <row r="836" spans="1:9" ht="17">
      <c r="A836" s="6" t="s">
        <v>2026</v>
      </c>
      <c r="B836" s="6" t="s">
        <v>1624</v>
      </c>
      <c r="C836" s="6">
        <v>22</v>
      </c>
      <c r="D836" s="6" t="s">
        <v>1646</v>
      </c>
      <c r="E836" s="6" t="s">
        <v>69</v>
      </c>
      <c r="F836" s="21">
        <v>8</v>
      </c>
      <c r="G836" s="23">
        <v>134</v>
      </c>
      <c r="H836" s="23">
        <v>24.6</v>
      </c>
      <c r="I836" s="23">
        <v>13.700155936734239</v>
      </c>
    </row>
    <row r="837" spans="1:9" ht="17">
      <c r="A837" s="6" t="s">
        <v>2027</v>
      </c>
      <c r="B837" s="6" t="s">
        <v>1624</v>
      </c>
      <c r="C837" s="6">
        <v>23</v>
      </c>
      <c r="D837" s="6" t="s">
        <v>1647</v>
      </c>
      <c r="E837" s="6" t="s">
        <v>69</v>
      </c>
      <c r="F837" s="21">
        <v>9</v>
      </c>
      <c r="G837" s="23">
        <v>137</v>
      </c>
      <c r="H837" s="23">
        <v>28.4</v>
      </c>
      <c r="I837" s="23">
        <v>15.131333581970269</v>
      </c>
    </row>
    <row r="838" spans="1:9" ht="17">
      <c r="A838" s="6" t="s">
        <v>2028</v>
      </c>
      <c r="B838" s="6" t="s">
        <v>1624</v>
      </c>
      <c r="C838" s="6">
        <v>24</v>
      </c>
      <c r="D838" s="6" t="s">
        <v>1648</v>
      </c>
      <c r="E838" s="6" t="s">
        <v>72</v>
      </c>
      <c r="F838" s="21">
        <v>8</v>
      </c>
      <c r="G838" s="23">
        <v>132.5</v>
      </c>
      <c r="H838" s="23">
        <v>27.4</v>
      </c>
      <c r="I838" s="23">
        <v>15.606977572089711</v>
      </c>
    </row>
    <row r="839" spans="1:9" ht="17">
      <c r="A839" s="6" t="s">
        <v>2029</v>
      </c>
      <c r="B839" s="6" t="s">
        <v>1624</v>
      </c>
      <c r="C839" s="6">
        <v>25</v>
      </c>
      <c r="D839" s="6" t="s">
        <v>1649</v>
      </c>
      <c r="E839" s="6" t="s">
        <v>69</v>
      </c>
      <c r="F839" s="21">
        <v>9</v>
      </c>
      <c r="G839" s="23">
        <v>135</v>
      </c>
      <c r="H839" s="23">
        <v>29.6</v>
      </c>
      <c r="I839" s="23">
        <v>16.241426611796982</v>
      </c>
    </row>
    <row r="840" spans="1:9" ht="17">
      <c r="A840" s="6" t="s">
        <v>2030</v>
      </c>
      <c r="B840" s="6" t="s">
        <v>1624</v>
      </c>
      <c r="C840" s="6">
        <v>26</v>
      </c>
      <c r="D840" s="6" t="s">
        <v>1650</v>
      </c>
      <c r="E840" s="6" t="s">
        <v>69</v>
      </c>
      <c r="F840" s="21">
        <v>9</v>
      </c>
      <c r="G840" s="23">
        <v>140.5</v>
      </c>
      <c r="H840" s="23">
        <v>32.200000000000003</v>
      </c>
      <c r="I840" s="23">
        <v>16.311850153873433</v>
      </c>
    </row>
    <row r="841" spans="1:9" ht="17">
      <c r="A841" s="6" t="s">
        <v>2031</v>
      </c>
      <c r="B841" s="6" t="s">
        <v>1624</v>
      </c>
      <c r="C841" s="6">
        <v>27</v>
      </c>
      <c r="D841" s="6" t="s">
        <v>1651</v>
      </c>
      <c r="E841" s="6" t="s">
        <v>69</v>
      </c>
      <c r="F841" s="21">
        <v>9</v>
      </c>
      <c r="G841" s="23">
        <v>143.5</v>
      </c>
      <c r="H841" s="23">
        <v>37.6</v>
      </c>
      <c r="I841" s="23">
        <v>18.259296580024039</v>
      </c>
    </row>
    <row r="842" spans="1:9" ht="17">
      <c r="A842" s="6" t="s">
        <v>2032</v>
      </c>
      <c r="B842" s="6" t="s">
        <v>1624</v>
      </c>
      <c r="C842" s="6">
        <v>28</v>
      </c>
      <c r="D842" s="6" t="s">
        <v>1652</v>
      </c>
      <c r="E842" s="6" t="s">
        <v>69</v>
      </c>
      <c r="F842" s="21">
        <v>9</v>
      </c>
      <c r="G842" s="23">
        <v>123.5</v>
      </c>
      <c r="H842" s="23">
        <v>24.9</v>
      </c>
      <c r="I842" s="23">
        <v>16.325460178006523</v>
      </c>
    </row>
    <row r="843" spans="1:9" ht="17">
      <c r="A843" s="6" t="s">
        <v>2033</v>
      </c>
      <c r="B843" s="6" t="s">
        <v>1624</v>
      </c>
      <c r="C843" s="6">
        <v>29</v>
      </c>
      <c r="D843" s="6" t="s">
        <v>1653</v>
      </c>
      <c r="E843" s="6" t="s">
        <v>69</v>
      </c>
      <c r="F843" s="21">
        <v>8</v>
      </c>
      <c r="G843" s="23">
        <v>132.5</v>
      </c>
      <c r="H843" s="23">
        <v>30.4</v>
      </c>
      <c r="I843" s="23">
        <v>17.315770736917052</v>
      </c>
    </row>
    <row r="844" spans="1:9" ht="17">
      <c r="A844" s="6" t="s">
        <v>2034</v>
      </c>
      <c r="B844" s="6" t="s">
        <v>1624</v>
      </c>
      <c r="C844" s="6">
        <v>30</v>
      </c>
      <c r="D844" s="6" t="s">
        <v>1654</v>
      </c>
      <c r="E844" s="6" t="s">
        <v>69</v>
      </c>
      <c r="F844" s="21">
        <v>8</v>
      </c>
      <c r="G844" s="23">
        <v>125</v>
      </c>
      <c r="H844" s="23">
        <v>22.2</v>
      </c>
      <c r="I844" s="23">
        <v>14.208</v>
      </c>
    </row>
    <row r="845" spans="1:9" ht="17">
      <c r="A845" s="6" t="s">
        <v>2035</v>
      </c>
      <c r="B845" s="6" t="s">
        <v>1624</v>
      </c>
      <c r="C845" s="6">
        <v>31</v>
      </c>
      <c r="D845" s="6" t="s">
        <v>1655</v>
      </c>
      <c r="E845" s="6" t="s">
        <v>72</v>
      </c>
      <c r="F845" s="21">
        <v>9</v>
      </c>
      <c r="G845" s="23">
        <v>145</v>
      </c>
      <c r="H845" s="23">
        <v>42.8</v>
      </c>
      <c r="I845" s="23">
        <v>20.356718192627824</v>
      </c>
    </row>
    <row r="846" spans="1:9" ht="17">
      <c r="A846" s="6" t="s">
        <v>2036</v>
      </c>
      <c r="B846" s="6" t="s">
        <v>1624</v>
      </c>
      <c r="C846" s="6">
        <v>32</v>
      </c>
      <c r="D846" s="6" t="s">
        <v>1656</v>
      </c>
      <c r="E846" s="6" t="s">
        <v>69</v>
      </c>
      <c r="F846" s="21">
        <v>8</v>
      </c>
      <c r="G846" s="23">
        <v>139.5</v>
      </c>
      <c r="H846" s="23">
        <v>29.6</v>
      </c>
      <c r="I846" s="23">
        <v>15.210493184825479</v>
      </c>
    </row>
    <row r="847" spans="1:9" ht="17">
      <c r="A847" s="6" t="s">
        <v>2037</v>
      </c>
      <c r="B847" s="6" t="s">
        <v>1624</v>
      </c>
      <c r="C847" s="6">
        <v>33</v>
      </c>
      <c r="D847" s="6" t="s">
        <v>1657</v>
      </c>
      <c r="E847" s="6" t="s">
        <v>69</v>
      </c>
      <c r="F847" s="21">
        <v>8</v>
      </c>
      <c r="G847" s="23">
        <v>141.5</v>
      </c>
      <c r="H847" s="23">
        <v>27</v>
      </c>
      <c r="I847" s="23">
        <v>13.484997939791981</v>
      </c>
    </row>
    <row r="848" spans="1:9" ht="17">
      <c r="A848" s="6" t="s">
        <v>2038</v>
      </c>
      <c r="B848" s="6" t="s">
        <v>1658</v>
      </c>
      <c r="C848" s="6">
        <v>1</v>
      </c>
      <c r="D848" s="6" t="s">
        <v>1659</v>
      </c>
      <c r="E848" s="6" t="s">
        <v>69</v>
      </c>
      <c r="F848" s="21">
        <v>9</v>
      </c>
      <c r="G848" s="23">
        <v>122</v>
      </c>
      <c r="H848" s="23">
        <v>20</v>
      </c>
      <c r="I848" s="23">
        <v>13.437248051599033</v>
      </c>
    </row>
    <row r="849" spans="1:9" ht="17">
      <c r="A849" s="6" t="s">
        <v>2039</v>
      </c>
      <c r="B849" s="6" t="s">
        <v>1658</v>
      </c>
      <c r="C849" s="6">
        <v>2</v>
      </c>
      <c r="D849" s="6" t="s">
        <v>1660</v>
      </c>
      <c r="E849" s="6" t="s">
        <v>69</v>
      </c>
      <c r="F849" s="21">
        <v>9</v>
      </c>
      <c r="G849" s="23">
        <v>152</v>
      </c>
      <c r="H849" s="23">
        <v>44.5</v>
      </c>
      <c r="I849" s="23">
        <v>19.26073407202216</v>
      </c>
    </row>
    <row r="850" spans="1:9" ht="17">
      <c r="A850" s="6" t="s">
        <v>2040</v>
      </c>
      <c r="B850" s="6" t="s">
        <v>1658</v>
      </c>
      <c r="C850" s="6">
        <v>3</v>
      </c>
      <c r="D850" s="6" t="s">
        <v>1661</v>
      </c>
      <c r="E850" s="6" t="s">
        <v>69</v>
      </c>
      <c r="F850" s="21">
        <v>9</v>
      </c>
      <c r="G850" s="23">
        <v>143.5</v>
      </c>
      <c r="H850" s="23">
        <v>35.4</v>
      </c>
      <c r="I850" s="23">
        <v>17.190933482256671</v>
      </c>
    </row>
    <row r="851" spans="1:9" ht="17">
      <c r="A851" s="6" t="s">
        <v>2041</v>
      </c>
      <c r="B851" s="6" t="s">
        <v>1658</v>
      </c>
      <c r="C851" s="6">
        <v>4</v>
      </c>
      <c r="D851" s="6" t="s">
        <v>1662</v>
      </c>
      <c r="E851" s="6" t="s">
        <v>72</v>
      </c>
      <c r="F851" s="21">
        <v>9</v>
      </c>
      <c r="G851" s="23">
        <v>135.5</v>
      </c>
      <c r="H851" s="23">
        <v>28.2</v>
      </c>
      <c r="I851" s="23">
        <v>15.359267983823749</v>
      </c>
    </row>
    <row r="852" spans="1:9" ht="17">
      <c r="A852" s="6" t="s">
        <v>2042</v>
      </c>
      <c r="B852" s="6" t="s">
        <v>1658</v>
      </c>
      <c r="C852" s="6">
        <v>5</v>
      </c>
      <c r="D852" s="6" t="s">
        <v>1663</v>
      </c>
      <c r="E852" s="6" t="s">
        <v>69</v>
      </c>
      <c r="F852" s="21">
        <v>9</v>
      </c>
      <c r="G852" s="23">
        <v>135.5</v>
      </c>
      <c r="H852" s="23">
        <v>35.700000000000003</v>
      </c>
      <c r="I852" s="23">
        <v>19.444179681649217</v>
      </c>
    </row>
    <row r="853" spans="1:9" ht="17">
      <c r="A853" s="6" t="s">
        <v>2043</v>
      </c>
      <c r="B853" s="6" t="s">
        <v>1658</v>
      </c>
      <c r="C853" s="6">
        <v>6</v>
      </c>
      <c r="D853" s="6" t="s">
        <v>1664</v>
      </c>
      <c r="E853" s="6" t="s">
        <v>69</v>
      </c>
      <c r="F853" s="21">
        <v>9</v>
      </c>
      <c r="G853" s="23">
        <v>135.5</v>
      </c>
      <c r="H853" s="23">
        <v>25.7</v>
      </c>
      <c r="I853" s="23">
        <v>13.997630751215262</v>
      </c>
    </row>
    <row r="854" spans="1:9" ht="17">
      <c r="A854" s="6" t="s">
        <v>2044</v>
      </c>
      <c r="B854" s="6" t="s">
        <v>1658</v>
      </c>
      <c r="C854" s="6">
        <v>7</v>
      </c>
      <c r="D854" s="6" t="s">
        <v>1665</v>
      </c>
      <c r="E854" s="6" t="s">
        <v>69</v>
      </c>
      <c r="F854" s="21">
        <v>9</v>
      </c>
      <c r="G854" s="23">
        <v>137</v>
      </c>
      <c r="H854" s="23">
        <v>24.1</v>
      </c>
      <c r="I854" s="23">
        <v>12.840321807235336</v>
      </c>
    </row>
    <row r="855" spans="1:9" ht="17">
      <c r="A855" s="6" t="s">
        <v>2045</v>
      </c>
      <c r="B855" s="6" t="s">
        <v>1658</v>
      </c>
      <c r="C855" s="6">
        <v>8</v>
      </c>
      <c r="D855" s="6" t="s">
        <v>1666</v>
      </c>
      <c r="E855" s="6" t="s">
        <v>72</v>
      </c>
      <c r="F855" s="21">
        <v>9</v>
      </c>
      <c r="G855" s="23">
        <v>151</v>
      </c>
      <c r="H855" s="23">
        <v>51.6</v>
      </c>
      <c r="I855" s="23">
        <v>22.630586377790447</v>
      </c>
    </row>
    <row r="856" spans="1:9" ht="17">
      <c r="A856" s="6" t="s">
        <v>2046</v>
      </c>
      <c r="B856" s="6" t="s">
        <v>1658</v>
      </c>
      <c r="C856" s="6">
        <v>9</v>
      </c>
      <c r="D856" s="6" t="s">
        <v>1667</v>
      </c>
      <c r="E856" s="6" t="s">
        <v>72</v>
      </c>
      <c r="F856" s="21">
        <v>8</v>
      </c>
      <c r="G856" s="23">
        <v>122</v>
      </c>
      <c r="H856" s="23">
        <v>21</v>
      </c>
      <c r="I856" s="23">
        <v>14.109110454178985</v>
      </c>
    </row>
    <row r="857" spans="1:9" ht="17">
      <c r="A857" s="6" t="s">
        <v>2047</v>
      </c>
      <c r="B857" s="6" t="s">
        <v>1658</v>
      </c>
      <c r="C857" s="6">
        <v>10</v>
      </c>
      <c r="D857" s="6" t="s">
        <v>1668</v>
      </c>
      <c r="E857" s="6" t="s">
        <v>69</v>
      </c>
      <c r="F857" s="21">
        <v>8</v>
      </c>
      <c r="G857" s="23">
        <v>124.5</v>
      </c>
      <c r="H857" s="23">
        <v>25.3</v>
      </c>
      <c r="I857" s="23">
        <v>16.322317381977712</v>
      </c>
    </row>
    <row r="858" spans="1:9" ht="17">
      <c r="A858" s="6" t="s">
        <v>2048</v>
      </c>
      <c r="B858" s="6" t="s">
        <v>1658</v>
      </c>
      <c r="C858" s="6">
        <v>11</v>
      </c>
      <c r="D858" s="6" t="s">
        <v>1669</v>
      </c>
      <c r="E858" s="6" t="s">
        <v>69</v>
      </c>
      <c r="F858" s="21">
        <v>9</v>
      </c>
      <c r="G858" s="23">
        <v>133</v>
      </c>
      <c r="H858" s="23">
        <v>28.6</v>
      </c>
      <c r="I858" s="23">
        <v>16.168240149245296</v>
      </c>
    </row>
    <row r="859" spans="1:9" ht="17">
      <c r="A859" s="6" t="s">
        <v>2049</v>
      </c>
      <c r="B859" s="6" t="s">
        <v>1658</v>
      </c>
      <c r="C859" s="6">
        <v>12</v>
      </c>
      <c r="D859" s="6" t="s">
        <v>1670</v>
      </c>
      <c r="E859" s="6" t="s">
        <v>72</v>
      </c>
      <c r="F859" s="21">
        <v>8</v>
      </c>
      <c r="G859" s="23">
        <v>135</v>
      </c>
      <c r="H859" s="23">
        <v>34.9</v>
      </c>
      <c r="I859" s="23">
        <v>19.149519890260631</v>
      </c>
    </row>
    <row r="860" spans="1:9" ht="17">
      <c r="A860" s="6" t="s">
        <v>2050</v>
      </c>
      <c r="B860" s="6" t="s">
        <v>1658</v>
      </c>
      <c r="C860" s="6">
        <v>13</v>
      </c>
      <c r="D860" s="6" t="s">
        <v>1671</v>
      </c>
      <c r="E860" s="6" t="s">
        <v>72</v>
      </c>
      <c r="F860" s="21">
        <v>9</v>
      </c>
      <c r="G860" s="23">
        <v>129</v>
      </c>
      <c r="H860" s="23">
        <v>26.2</v>
      </c>
      <c r="I860" s="23">
        <v>15.744246139054145</v>
      </c>
    </row>
    <row r="861" spans="1:9" ht="17">
      <c r="A861" s="6" t="s">
        <v>2051</v>
      </c>
      <c r="B861" s="6" t="s">
        <v>1658</v>
      </c>
      <c r="C861" s="6">
        <v>14</v>
      </c>
      <c r="D861" s="6" t="s">
        <v>1672</v>
      </c>
      <c r="E861" s="6" t="s">
        <v>72</v>
      </c>
      <c r="F861" s="21">
        <v>9</v>
      </c>
      <c r="G861" s="23">
        <v>137.5</v>
      </c>
      <c r="H861" s="23">
        <v>35.1</v>
      </c>
      <c r="I861" s="23">
        <v>18.565289256198348</v>
      </c>
    </row>
    <row r="862" spans="1:9" ht="17">
      <c r="A862" s="6" t="s">
        <v>2052</v>
      </c>
      <c r="B862" s="6" t="s">
        <v>1658</v>
      </c>
      <c r="C862" s="6">
        <v>15</v>
      </c>
      <c r="D862" s="6" t="s">
        <v>1673</v>
      </c>
      <c r="E862" s="6" t="s">
        <v>72</v>
      </c>
      <c r="F862" s="21">
        <v>9</v>
      </c>
      <c r="G862" s="23">
        <v>145.5</v>
      </c>
      <c r="H862" s="23">
        <v>51.5</v>
      </c>
      <c r="I862" s="23">
        <v>24.326590380368678</v>
      </c>
    </row>
    <row r="863" spans="1:9" ht="17">
      <c r="A863" s="6" t="s">
        <v>2053</v>
      </c>
      <c r="B863" s="6" t="s">
        <v>1658</v>
      </c>
      <c r="C863" s="6">
        <v>16</v>
      </c>
      <c r="D863" s="6" t="s">
        <v>1674</v>
      </c>
      <c r="E863" s="6" t="s">
        <v>69</v>
      </c>
      <c r="F863" s="21">
        <v>8</v>
      </c>
      <c r="G863" s="23">
        <v>124</v>
      </c>
      <c r="H863" s="23">
        <v>24.8</v>
      </c>
      <c r="I863" s="23">
        <v>16.129032258064516</v>
      </c>
    </row>
    <row r="864" spans="1:9" ht="17">
      <c r="A864" s="6" t="s">
        <v>2054</v>
      </c>
      <c r="B864" s="6" t="s">
        <v>1658</v>
      </c>
      <c r="C864" s="6">
        <v>17</v>
      </c>
      <c r="D864" s="6" t="s">
        <v>1675</v>
      </c>
      <c r="E864" s="6" t="s">
        <v>69</v>
      </c>
      <c r="F864" s="21">
        <v>9</v>
      </c>
      <c r="G864" s="23">
        <v>133</v>
      </c>
      <c r="H864" s="23">
        <v>28.1</v>
      </c>
      <c r="I864" s="23">
        <v>15.885578608174573</v>
      </c>
    </row>
    <row r="865" spans="1:9" ht="17">
      <c r="A865" s="6" t="s">
        <v>2055</v>
      </c>
      <c r="B865" s="6" t="s">
        <v>1658</v>
      </c>
      <c r="C865" s="6">
        <v>18</v>
      </c>
      <c r="D865" s="6" t="s">
        <v>1676</v>
      </c>
      <c r="E865" s="6" t="s">
        <v>72</v>
      </c>
      <c r="F865" s="21">
        <v>9</v>
      </c>
      <c r="G865" s="23">
        <v>132</v>
      </c>
      <c r="H865" s="23">
        <v>26.3</v>
      </c>
      <c r="I865" s="23">
        <v>15.094123048668504</v>
      </c>
    </row>
    <row r="866" spans="1:9" ht="17">
      <c r="A866" s="6" t="s">
        <v>2056</v>
      </c>
      <c r="B866" s="6" t="s">
        <v>1658</v>
      </c>
      <c r="C866" s="6">
        <v>19</v>
      </c>
      <c r="D866" s="6" t="s">
        <v>1677</v>
      </c>
      <c r="E866" s="6" t="s">
        <v>72</v>
      </c>
      <c r="F866" s="21">
        <v>9</v>
      </c>
      <c r="G866" s="23">
        <v>130</v>
      </c>
      <c r="H866" s="23">
        <v>23.1</v>
      </c>
      <c r="I866" s="23">
        <v>13.66863905325444</v>
      </c>
    </row>
    <row r="867" spans="1:9" ht="17">
      <c r="A867" s="6" t="s">
        <v>2057</v>
      </c>
      <c r="B867" s="6" t="s">
        <v>1658</v>
      </c>
      <c r="C867" s="6">
        <v>20</v>
      </c>
      <c r="D867" s="6" t="s">
        <v>1678</v>
      </c>
      <c r="E867" s="6" t="s">
        <v>72</v>
      </c>
      <c r="F867" s="21">
        <v>9</v>
      </c>
      <c r="G867" s="23">
        <v>131</v>
      </c>
      <c r="H867" s="23">
        <v>26.7</v>
      </c>
      <c r="I867" s="23">
        <v>15.558533884971737</v>
      </c>
    </row>
    <row r="868" spans="1:9" ht="17">
      <c r="A868" s="6" t="s">
        <v>2058</v>
      </c>
      <c r="B868" s="6" t="s">
        <v>1658</v>
      </c>
      <c r="C868" s="6">
        <v>21</v>
      </c>
      <c r="D868" s="6" t="s">
        <v>1679</v>
      </c>
      <c r="E868" s="6" t="s">
        <v>69</v>
      </c>
      <c r="F868" s="21">
        <v>9</v>
      </c>
      <c r="G868" s="23">
        <v>120.5</v>
      </c>
      <c r="H868" s="23">
        <v>19.2</v>
      </c>
      <c r="I868" s="23">
        <v>13.22291282863587</v>
      </c>
    </row>
    <row r="869" spans="1:9" ht="17">
      <c r="A869" s="6" t="s">
        <v>2059</v>
      </c>
      <c r="B869" s="6" t="s">
        <v>1658</v>
      </c>
      <c r="C869" s="6">
        <v>22</v>
      </c>
      <c r="D869" s="6" t="s">
        <v>1680</v>
      </c>
      <c r="E869" s="6" t="s">
        <v>72</v>
      </c>
      <c r="F869" s="21">
        <v>9</v>
      </c>
      <c r="G869" s="23">
        <v>143</v>
      </c>
      <c r="H869" s="23">
        <v>39.4</v>
      </c>
      <c r="I869" s="23">
        <v>19.267445840872412</v>
      </c>
    </row>
    <row r="870" spans="1:9" ht="17">
      <c r="A870" s="6" t="s">
        <v>2060</v>
      </c>
      <c r="B870" s="6" t="s">
        <v>1658</v>
      </c>
      <c r="C870" s="6">
        <v>23</v>
      </c>
      <c r="D870" s="6" t="s">
        <v>1681</v>
      </c>
      <c r="E870" s="6" t="s">
        <v>69</v>
      </c>
      <c r="F870" s="21">
        <v>9</v>
      </c>
      <c r="G870" s="23">
        <v>155</v>
      </c>
      <c r="H870" s="23">
        <v>42.2</v>
      </c>
      <c r="I870" s="23">
        <v>17.565036420395423</v>
      </c>
    </row>
    <row r="871" spans="1:9" ht="17">
      <c r="A871" s="6" t="s">
        <v>2061</v>
      </c>
      <c r="B871" s="6" t="s">
        <v>1658</v>
      </c>
      <c r="C871" s="6">
        <v>24</v>
      </c>
      <c r="D871" s="6" t="s">
        <v>1682</v>
      </c>
      <c r="E871" s="6" t="s">
        <v>69</v>
      </c>
      <c r="F871" s="21">
        <v>9</v>
      </c>
      <c r="G871" s="23">
        <v>153.5</v>
      </c>
      <c r="H871" s="23">
        <v>43.6</v>
      </c>
      <c r="I871" s="23">
        <v>18.504175110611257</v>
      </c>
    </row>
    <row r="872" spans="1:9" ht="17">
      <c r="A872" s="6" t="s">
        <v>2062</v>
      </c>
      <c r="B872" s="6" t="s">
        <v>1658</v>
      </c>
      <c r="C872" s="6">
        <v>25</v>
      </c>
      <c r="D872" s="6" t="s">
        <v>1683</v>
      </c>
      <c r="E872" s="6" t="s">
        <v>69</v>
      </c>
      <c r="F872" s="21">
        <v>9</v>
      </c>
      <c r="G872" s="23">
        <v>127.5</v>
      </c>
      <c r="H872" s="23">
        <v>22.3</v>
      </c>
      <c r="I872" s="23">
        <v>13.717800845828528</v>
      </c>
    </row>
    <row r="873" spans="1:9" ht="17">
      <c r="A873" s="6" t="s">
        <v>2063</v>
      </c>
      <c r="B873" s="6" t="s">
        <v>1658</v>
      </c>
      <c r="C873" s="6">
        <v>26</v>
      </c>
      <c r="D873" s="6" t="s">
        <v>1684</v>
      </c>
      <c r="E873" s="6" t="s">
        <v>72</v>
      </c>
      <c r="F873" s="21">
        <v>9</v>
      </c>
      <c r="G873" s="23">
        <v>128.5</v>
      </c>
      <c r="H873" s="23">
        <v>30.2</v>
      </c>
      <c r="I873" s="23">
        <v>18.28945177065512</v>
      </c>
    </row>
    <row r="874" spans="1:9" ht="17">
      <c r="A874" s="6" t="s">
        <v>2064</v>
      </c>
      <c r="B874" s="6" t="s">
        <v>1658</v>
      </c>
      <c r="C874" s="6">
        <v>27</v>
      </c>
      <c r="D874" s="6" t="s">
        <v>1685</v>
      </c>
      <c r="E874" s="6" t="s">
        <v>69</v>
      </c>
      <c r="F874" s="21">
        <v>9</v>
      </c>
      <c r="G874" s="23">
        <v>135</v>
      </c>
      <c r="H874" s="23">
        <v>31.4</v>
      </c>
      <c r="I874" s="23">
        <v>17.229080932784637</v>
      </c>
    </row>
    <row r="875" spans="1:9" ht="17">
      <c r="A875" s="6" t="s">
        <v>2065</v>
      </c>
      <c r="B875" s="6" t="s">
        <v>1658</v>
      </c>
      <c r="C875" s="6">
        <v>28</v>
      </c>
      <c r="D875" s="6" t="s">
        <v>1686</v>
      </c>
      <c r="E875" s="6" t="s">
        <v>69</v>
      </c>
      <c r="F875" s="21">
        <v>9</v>
      </c>
      <c r="G875" s="23">
        <v>136.5</v>
      </c>
      <c r="H875" s="23">
        <v>29</v>
      </c>
      <c r="I875" s="23">
        <v>15.564411168806775</v>
      </c>
    </row>
    <row r="876" spans="1:9" ht="17">
      <c r="A876" s="6" t="s">
        <v>2066</v>
      </c>
      <c r="B876" s="6" t="s">
        <v>1658</v>
      </c>
      <c r="C876" s="6">
        <v>29</v>
      </c>
      <c r="D876" s="6" t="s">
        <v>1687</v>
      </c>
      <c r="E876" s="6" t="s">
        <v>72</v>
      </c>
      <c r="F876" s="21">
        <v>9</v>
      </c>
      <c r="G876" s="23">
        <v>128.5</v>
      </c>
      <c r="H876" s="23">
        <v>29.1</v>
      </c>
      <c r="I876" s="23">
        <v>17.623279686293511</v>
      </c>
    </row>
    <row r="877" spans="1:9" ht="17">
      <c r="A877" s="6" t="s">
        <v>2067</v>
      </c>
      <c r="B877" s="6" t="s">
        <v>1658</v>
      </c>
      <c r="C877" s="6">
        <v>30</v>
      </c>
      <c r="D877" s="6" t="s">
        <v>1688</v>
      </c>
      <c r="E877" s="6" t="s">
        <v>72</v>
      </c>
      <c r="F877" s="21">
        <v>9</v>
      </c>
      <c r="G877" s="23">
        <v>134</v>
      </c>
      <c r="H877" s="23">
        <v>30.2</v>
      </c>
      <c r="I877" s="23">
        <v>16.81889062151927</v>
      </c>
    </row>
    <row r="878" spans="1:9" ht="17">
      <c r="A878" s="6" t="s">
        <v>2068</v>
      </c>
      <c r="B878" s="6" t="s">
        <v>1658</v>
      </c>
      <c r="C878" s="6">
        <v>31</v>
      </c>
      <c r="D878" s="6" t="s">
        <v>1689</v>
      </c>
      <c r="E878" s="6" t="s">
        <v>72</v>
      </c>
      <c r="F878" s="21">
        <v>9</v>
      </c>
      <c r="G878" s="23">
        <v>131.5</v>
      </c>
      <c r="H878" s="23">
        <v>27.6</v>
      </c>
      <c r="I878" s="23">
        <v>15.96090734288482</v>
      </c>
    </row>
    <row r="879" spans="1:9" ht="17">
      <c r="A879" s="6" t="s">
        <v>2069</v>
      </c>
      <c r="B879" s="6" t="s">
        <v>1658</v>
      </c>
      <c r="C879" s="6">
        <v>32</v>
      </c>
      <c r="D879" s="6" t="s">
        <v>1690</v>
      </c>
      <c r="E879" s="6" t="s">
        <v>69</v>
      </c>
      <c r="F879" s="21">
        <v>8</v>
      </c>
      <c r="G879" s="23">
        <v>118</v>
      </c>
      <c r="H879" s="23">
        <v>19.899999999999999</v>
      </c>
      <c r="I879" s="23">
        <v>14.291870152255097</v>
      </c>
    </row>
    <row r="880" spans="1:9" ht="17">
      <c r="A880" s="6" t="s">
        <v>2070</v>
      </c>
      <c r="B880" s="6" t="s">
        <v>1691</v>
      </c>
      <c r="C880" s="6">
        <v>1</v>
      </c>
      <c r="D880" s="6" t="s">
        <v>1692</v>
      </c>
      <c r="E880" s="6" t="s">
        <v>69</v>
      </c>
      <c r="F880" s="21">
        <v>10</v>
      </c>
      <c r="G880" s="23">
        <v>143</v>
      </c>
      <c r="H880" s="23">
        <v>40.5</v>
      </c>
      <c r="I880" s="23">
        <v>19.805369455719106</v>
      </c>
    </row>
    <row r="881" spans="1:9" ht="17">
      <c r="A881" s="6" t="s">
        <v>2071</v>
      </c>
      <c r="B881" s="6" t="s">
        <v>1691</v>
      </c>
      <c r="C881" s="6">
        <v>2</v>
      </c>
      <c r="D881" s="6" t="s">
        <v>1693</v>
      </c>
      <c r="E881" s="6" t="s">
        <v>72</v>
      </c>
      <c r="F881" s="21">
        <v>10</v>
      </c>
      <c r="G881" s="23">
        <v>129.5</v>
      </c>
      <c r="H881" s="23">
        <v>22</v>
      </c>
      <c r="I881" s="23">
        <v>13.118468716924315</v>
      </c>
    </row>
    <row r="882" spans="1:9" ht="17">
      <c r="A882" s="6" t="s">
        <v>2072</v>
      </c>
      <c r="B882" s="6" t="s">
        <v>1691</v>
      </c>
      <c r="C882" s="6">
        <v>3</v>
      </c>
      <c r="D882" s="6" t="s">
        <v>1694</v>
      </c>
      <c r="E882" s="6" t="s">
        <v>72</v>
      </c>
      <c r="F882" s="21">
        <v>10</v>
      </c>
      <c r="G882" s="23">
        <v>131</v>
      </c>
      <c r="H882" s="23">
        <v>31.5</v>
      </c>
      <c r="I882" s="23">
        <v>18.355573684517221</v>
      </c>
    </row>
    <row r="883" spans="1:9" ht="17">
      <c r="A883" s="6" t="s">
        <v>2073</v>
      </c>
      <c r="B883" s="6" t="s">
        <v>1691</v>
      </c>
      <c r="C883" s="6">
        <v>4</v>
      </c>
      <c r="D883" s="6" t="s">
        <v>1695</v>
      </c>
      <c r="E883" s="6" t="s">
        <v>69</v>
      </c>
      <c r="F883" s="21">
        <v>9</v>
      </c>
      <c r="G883" s="23">
        <v>137</v>
      </c>
      <c r="H883" s="23">
        <v>27.3</v>
      </c>
      <c r="I883" s="23">
        <v>14.545260802386915</v>
      </c>
    </row>
    <row r="884" spans="1:9" ht="17">
      <c r="A884" s="6" t="s">
        <v>2074</v>
      </c>
      <c r="B884" s="6" t="s">
        <v>1691</v>
      </c>
      <c r="C884" s="6">
        <v>5</v>
      </c>
      <c r="D884" s="6" t="s">
        <v>1696</v>
      </c>
      <c r="E884" s="6" t="s">
        <v>69</v>
      </c>
      <c r="F884" s="21">
        <v>10</v>
      </c>
      <c r="G884" s="23">
        <v>141</v>
      </c>
      <c r="H884" s="23">
        <v>30.7</v>
      </c>
      <c r="I884" s="23">
        <v>15.44187918112771</v>
      </c>
    </row>
    <row r="885" spans="1:9" ht="17">
      <c r="A885" s="6" t="s">
        <v>2075</v>
      </c>
      <c r="B885" s="6" t="s">
        <v>1691</v>
      </c>
      <c r="C885" s="6">
        <v>6</v>
      </c>
      <c r="D885" s="6" t="s">
        <v>938</v>
      </c>
      <c r="E885" s="6" t="s">
        <v>69</v>
      </c>
      <c r="F885" s="21">
        <v>10</v>
      </c>
      <c r="G885" s="23">
        <v>138.5</v>
      </c>
      <c r="H885" s="23">
        <v>29.5</v>
      </c>
      <c r="I885" s="23">
        <v>15.378800714201931</v>
      </c>
    </row>
    <row r="886" spans="1:9" ht="17">
      <c r="A886" s="6" t="s">
        <v>2076</v>
      </c>
      <c r="B886" s="6" t="s">
        <v>1691</v>
      </c>
      <c r="C886" s="6">
        <v>7</v>
      </c>
      <c r="D886" s="6" t="s">
        <v>1697</v>
      </c>
      <c r="E886" s="6" t="s">
        <v>72</v>
      </c>
      <c r="F886" s="21">
        <v>10</v>
      </c>
      <c r="G886" s="23">
        <v>137.5</v>
      </c>
      <c r="H886" s="23">
        <v>28.2</v>
      </c>
      <c r="I886" s="23">
        <v>14.915702479338842</v>
      </c>
    </row>
    <row r="887" spans="1:9" ht="17">
      <c r="A887" s="6" t="s">
        <v>2077</v>
      </c>
      <c r="B887" s="6" t="s">
        <v>1691</v>
      </c>
      <c r="C887" s="6">
        <v>8</v>
      </c>
      <c r="D887" s="6" t="s">
        <v>1698</v>
      </c>
      <c r="E887" s="6" t="s">
        <v>69</v>
      </c>
      <c r="F887" s="21">
        <v>10</v>
      </c>
      <c r="G887" s="23">
        <v>138</v>
      </c>
      <c r="H887" s="23">
        <v>30.9</v>
      </c>
      <c r="I887" s="23">
        <v>16.22558286074354</v>
      </c>
    </row>
    <row r="888" spans="1:9" ht="17">
      <c r="A888" s="6" t="s">
        <v>2078</v>
      </c>
      <c r="B888" s="6" t="s">
        <v>1691</v>
      </c>
      <c r="C888" s="6">
        <v>9</v>
      </c>
      <c r="D888" s="6" t="s">
        <v>1699</v>
      </c>
      <c r="E888" s="6" t="s">
        <v>69</v>
      </c>
      <c r="F888" s="21">
        <v>10</v>
      </c>
      <c r="G888" s="23">
        <v>132</v>
      </c>
      <c r="H888" s="23">
        <v>22.1</v>
      </c>
      <c r="I888" s="23">
        <v>12.683654729109275</v>
      </c>
    </row>
    <row r="889" spans="1:9" ht="17">
      <c r="A889" s="6" t="s">
        <v>2079</v>
      </c>
      <c r="B889" s="6" t="s">
        <v>1691</v>
      </c>
      <c r="C889" s="6">
        <v>10</v>
      </c>
      <c r="D889" s="6" t="s">
        <v>1700</v>
      </c>
      <c r="E889" s="6" t="s">
        <v>69</v>
      </c>
      <c r="F889" s="21">
        <v>9</v>
      </c>
      <c r="G889" s="23">
        <v>136</v>
      </c>
      <c r="H889" s="23">
        <v>27</v>
      </c>
      <c r="I889" s="23">
        <v>14.597750865051903</v>
      </c>
    </row>
    <row r="890" spans="1:9" ht="17">
      <c r="A890" s="6" t="s">
        <v>2080</v>
      </c>
      <c r="B890" s="6" t="s">
        <v>1691</v>
      </c>
      <c r="C890" s="6">
        <v>11</v>
      </c>
      <c r="D890" s="6" t="s">
        <v>1701</v>
      </c>
      <c r="E890" s="6" t="s">
        <v>72</v>
      </c>
      <c r="F890" s="21">
        <v>9</v>
      </c>
      <c r="G890" s="23">
        <v>134</v>
      </c>
      <c r="H890" s="23">
        <v>32.299999999999997</v>
      </c>
      <c r="I890" s="23">
        <v>17.988416128313652</v>
      </c>
    </row>
    <row r="891" spans="1:9" ht="17">
      <c r="A891" s="6" t="s">
        <v>2081</v>
      </c>
      <c r="B891" s="6" t="s">
        <v>1691</v>
      </c>
      <c r="C891" s="6">
        <v>12</v>
      </c>
      <c r="D891" s="6" t="s">
        <v>1702</v>
      </c>
      <c r="E891" s="6" t="s">
        <v>69</v>
      </c>
      <c r="F891" s="21">
        <v>9</v>
      </c>
      <c r="G891" s="23">
        <v>137</v>
      </c>
      <c r="H891" s="23">
        <v>37.299999999999997</v>
      </c>
      <c r="I891" s="23">
        <v>19.8731951622356</v>
      </c>
    </row>
    <row r="892" spans="1:9" ht="17">
      <c r="A892" s="6" t="s">
        <v>2082</v>
      </c>
      <c r="B892" s="6" t="s">
        <v>1691</v>
      </c>
      <c r="C892" s="6">
        <v>13</v>
      </c>
      <c r="D892" s="6" t="s">
        <v>1703</v>
      </c>
      <c r="E892" s="6" t="s">
        <v>69</v>
      </c>
      <c r="F892" s="21">
        <v>10</v>
      </c>
      <c r="G892" s="23">
        <v>136.5</v>
      </c>
      <c r="H892" s="23">
        <v>35.799999999999997</v>
      </c>
      <c r="I892" s="23">
        <v>19.213997235975256</v>
      </c>
    </row>
    <row r="893" spans="1:9" ht="17">
      <c r="A893" s="6" t="s">
        <v>2083</v>
      </c>
      <c r="B893" s="6" t="s">
        <v>1691</v>
      </c>
      <c r="C893" s="6">
        <v>14</v>
      </c>
      <c r="D893" s="6" t="s">
        <v>1704</v>
      </c>
      <c r="E893" s="6" t="s">
        <v>72</v>
      </c>
      <c r="F893" s="21">
        <v>10</v>
      </c>
      <c r="G893" s="23">
        <v>139.5</v>
      </c>
      <c r="H893" s="23">
        <v>27.5</v>
      </c>
      <c r="I893" s="23">
        <v>14.131370357523672</v>
      </c>
    </row>
    <row r="894" spans="1:9" ht="17">
      <c r="A894" s="6" t="s">
        <v>2084</v>
      </c>
      <c r="B894" s="6" t="s">
        <v>1691</v>
      </c>
      <c r="C894" s="6">
        <v>15</v>
      </c>
      <c r="D894" s="6" t="s">
        <v>1705</v>
      </c>
      <c r="E894" s="6" t="s">
        <v>72</v>
      </c>
      <c r="F894" s="21">
        <v>10</v>
      </c>
      <c r="G894" s="23">
        <v>137</v>
      </c>
      <c r="H894" s="23">
        <v>28.1</v>
      </c>
      <c r="I894" s="23">
        <v>14.97149555117481</v>
      </c>
    </row>
    <row r="895" spans="1:9" ht="17">
      <c r="A895" s="6" t="s">
        <v>2085</v>
      </c>
      <c r="B895" s="6" t="s">
        <v>1691</v>
      </c>
      <c r="C895" s="6">
        <v>16</v>
      </c>
      <c r="D895" s="6" t="s">
        <v>1706</v>
      </c>
      <c r="E895" s="6" t="s">
        <v>72</v>
      </c>
      <c r="F895" s="21">
        <v>10</v>
      </c>
      <c r="G895" s="23">
        <v>147.5</v>
      </c>
      <c r="H895" s="23">
        <v>38.200000000000003</v>
      </c>
      <c r="I895" s="23">
        <v>17.558172938810685</v>
      </c>
    </row>
    <row r="896" spans="1:9" ht="17">
      <c r="A896" s="6" t="s">
        <v>2086</v>
      </c>
      <c r="B896" s="6" t="s">
        <v>1691</v>
      </c>
      <c r="C896" s="6">
        <v>17</v>
      </c>
      <c r="D896" s="6" t="s">
        <v>1707</v>
      </c>
      <c r="E896" s="6" t="s">
        <v>69</v>
      </c>
      <c r="F896" s="21">
        <v>9</v>
      </c>
      <c r="G896" s="23">
        <v>129.5</v>
      </c>
      <c r="H896" s="23">
        <v>27.9</v>
      </c>
      <c r="I896" s="23">
        <v>16.63660350919038</v>
      </c>
    </row>
    <row r="897" spans="1:9" ht="17">
      <c r="A897" s="6" t="s">
        <v>2087</v>
      </c>
      <c r="B897" s="6" t="s">
        <v>1691</v>
      </c>
      <c r="C897" s="6">
        <v>18</v>
      </c>
      <c r="D897" s="6" t="s">
        <v>1708</v>
      </c>
      <c r="E897" s="6" t="s">
        <v>69</v>
      </c>
      <c r="F897" s="21">
        <v>10</v>
      </c>
      <c r="G897" s="23">
        <v>140</v>
      </c>
      <c r="H897" s="23">
        <v>37.6</v>
      </c>
      <c r="I897" s="23">
        <v>19.183673469387756</v>
      </c>
    </row>
    <row r="898" spans="1:9" ht="17">
      <c r="A898" s="6" t="s">
        <v>2088</v>
      </c>
      <c r="B898" s="6" t="s">
        <v>1691</v>
      </c>
      <c r="C898" s="6">
        <v>19</v>
      </c>
      <c r="D898" s="6" t="s">
        <v>1709</v>
      </c>
      <c r="E898" s="6" t="s">
        <v>69</v>
      </c>
      <c r="F898" s="21">
        <v>10</v>
      </c>
      <c r="G898" s="23">
        <v>135.5</v>
      </c>
      <c r="H898" s="23">
        <v>30</v>
      </c>
      <c r="I898" s="23">
        <v>16.33964679130186</v>
      </c>
    </row>
    <row r="899" spans="1:9" ht="17">
      <c r="A899" s="6" t="s">
        <v>2089</v>
      </c>
      <c r="B899" s="6" t="s">
        <v>1691</v>
      </c>
      <c r="C899" s="6">
        <v>20</v>
      </c>
      <c r="D899" s="6" t="s">
        <v>1710</v>
      </c>
      <c r="E899" s="6" t="s">
        <v>69</v>
      </c>
      <c r="F899" s="21">
        <v>10</v>
      </c>
      <c r="G899" s="23">
        <v>138</v>
      </c>
      <c r="H899" s="23">
        <v>28.1</v>
      </c>
      <c r="I899" s="23">
        <v>14.755303507666456</v>
      </c>
    </row>
    <row r="900" spans="1:9" ht="17">
      <c r="A900" s="6" t="s">
        <v>2090</v>
      </c>
      <c r="B900" s="6" t="s">
        <v>1691</v>
      </c>
      <c r="C900" s="6">
        <v>21</v>
      </c>
      <c r="D900" s="6" t="s">
        <v>1711</v>
      </c>
      <c r="E900" s="6" t="s">
        <v>72</v>
      </c>
      <c r="F900" s="21">
        <v>10</v>
      </c>
      <c r="G900" s="23">
        <v>139.5</v>
      </c>
      <c r="H900" s="23">
        <v>25.5</v>
      </c>
      <c r="I900" s="23">
        <v>13.103634331521949</v>
      </c>
    </row>
    <row r="901" spans="1:9" ht="17">
      <c r="A901" s="6" t="s">
        <v>2091</v>
      </c>
      <c r="B901" s="6" t="s">
        <v>1691</v>
      </c>
      <c r="C901" s="6">
        <v>22</v>
      </c>
      <c r="D901" s="6" t="s">
        <v>1712</v>
      </c>
      <c r="E901" s="6" t="s">
        <v>72</v>
      </c>
      <c r="F901" s="21">
        <v>9</v>
      </c>
      <c r="G901" s="23">
        <v>132.5</v>
      </c>
      <c r="H901" s="23">
        <v>27.6</v>
      </c>
      <c r="I901" s="23">
        <v>15.720897116411535</v>
      </c>
    </row>
    <row r="902" spans="1:9" ht="17">
      <c r="A902" s="6" t="s">
        <v>2092</v>
      </c>
      <c r="B902" s="6" t="s">
        <v>1691</v>
      </c>
      <c r="C902" s="6">
        <v>23</v>
      </c>
      <c r="D902" s="6" t="s">
        <v>1713</v>
      </c>
      <c r="E902" s="6" t="s">
        <v>72</v>
      </c>
      <c r="F902" s="21">
        <v>9</v>
      </c>
      <c r="G902" s="23">
        <v>142</v>
      </c>
      <c r="H902" s="23">
        <v>35.799999999999997</v>
      </c>
      <c r="I902" s="23">
        <v>17.754413806784367</v>
      </c>
    </row>
    <row r="903" spans="1:9" ht="17">
      <c r="A903" s="6" t="s">
        <v>2093</v>
      </c>
      <c r="B903" s="6" t="s">
        <v>1691</v>
      </c>
      <c r="C903" s="6">
        <v>24</v>
      </c>
      <c r="D903" s="6" t="s">
        <v>1714</v>
      </c>
      <c r="E903" s="6" t="s">
        <v>69</v>
      </c>
      <c r="F903" s="21">
        <v>10</v>
      </c>
      <c r="G903" s="23">
        <v>142.5</v>
      </c>
      <c r="H903" s="23">
        <v>32.4</v>
      </c>
      <c r="I903" s="23">
        <v>15.955678670360109</v>
      </c>
    </row>
    <row r="904" spans="1:9" ht="17">
      <c r="A904" s="6" t="s">
        <v>2094</v>
      </c>
      <c r="B904" s="6" t="s">
        <v>1691</v>
      </c>
      <c r="C904" s="6">
        <v>25</v>
      </c>
      <c r="D904" s="6" t="s">
        <v>1715</v>
      </c>
      <c r="E904" s="6" t="s">
        <v>72</v>
      </c>
      <c r="F904" s="21">
        <v>10</v>
      </c>
      <c r="G904" s="23">
        <v>137.5</v>
      </c>
      <c r="H904" s="23">
        <v>29.6</v>
      </c>
      <c r="I904" s="23">
        <v>15.65619834710744</v>
      </c>
    </row>
    <row r="905" spans="1:9" ht="17">
      <c r="A905" s="6" t="s">
        <v>2095</v>
      </c>
      <c r="B905" s="6" t="s">
        <v>1691</v>
      </c>
      <c r="C905" s="6">
        <v>26</v>
      </c>
      <c r="D905" s="6" t="s">
        <v>1716</v>
      </c>
      <c r="E905" s="6" t="s">
        <v>72</v>
      </c>
      <c r="F905" s="21">
        <v>10</v>
      </c>
      <c r="G905" s="23">
        <v>145.5</v>
      </c>
      <c r="H905" s="23">
        <v>39.1</v>
      </c>
      <c r="I905" s="23">
        <v>18.469314249949814</v>
      </c>
    </row>
    <row r="906" spans="1:9" ht="17">
      <c r="A906" s="6" t="s">
        <v>2096</v>
      </c>
      <c r="B906" s="6" t="s">
        <v>1691</v>
      </c>
      <c r="C906" s="6">
        <v>27</v>
      </c>
      <c r="D906" s="6" t="s">
        <v>1717</v>
      </c>
      <c r="E906" s="6" t="s">
        <v>72</v>
      </c>
      <c r="F906" s="21">
        <v>10</v>
      </c>
      <c r="G906" s="23">
        <v>146</v>
      </c>
      <c r="H906" s="23">
        <v>48.1</v>
      </c>
      <c r="I906" s="23">
        <v>22.565209232501406</v>
      </c>
    </row>
    <row r="907" spans="1:9" ht="17">
      <c r="A907" s="6" t="s">
        <v>2097</v>
      </c>
      <c r="B907" s="6" t="s">
        <v>1691</v>
      </c>
      <c r="C907" s="6">
        <v>28</v>
      </c>
      <c r="D907" s="6" t="s">
        <v>1718</v>
      </c>
      <c r="E907" s="6" t="s">
        <v>72</v>
      </c>
      <c r="F907" s="21">
        <v>9</v>
      </c>
      <c r="G907" s="23">
        <v>133</v>
      </c>
      <c r="H907" s="23">
        <v>30.1</v>
      </c>
      <c r="I907" s="23">
        <v>17.016224772457463</v>
      </c>
    </row>
    <row r="908" spans="1:9" ht="17">
      <c r="A908" s="6" t="s">
        <v>2098</v>
      </c>
      <c r="B908" s="6" t="s">
        <v>1691</v>
      </c>
      <c r="C908" s="6">
        <v>29</v>
      </c>
      <c r="D908" s="6" t="s">
        <v>1719</v>
      </c>
      <c r="E908" s="6" t="s">
        <v>69</v>
      </c>
      <c r="F908" s="21">
        <v>10</v>
      </c>
      <c r="G908" s="23">
        <v>143.5</v>
      </c>
      <c r="H908" s="23">
        <v>32.6</v>
      </c>
      <c r="I908" s="23">
        <v>15.831198630552757</v>
      </c>
    </row>
    <row r="909" spans="1:9" ht="17">
      <c r="A909" s="6" t="s">
        <v>2099</v>
      </c>
      <c r="B909" s="6" t="s">
        <v>1691</v>
      </c>
      <c r="C909" s="6">
        <v>30</v>
      </c>
      <c r="D909" s="6" t="s">
        <v>1720</v>
      </c>
      <c r="E909" s="6" t="s">
        <v>69</v>
      </c>
      <c r="F909" s="21">
        <v>10</v>
      </c>
      <c r="G909" s="23">
        <v>149.5</v>
      </c>
      <c r="H909" s="23">
        <v>49</v>
      </c>
      <c r="I909" s="23">
        <v>21.923692128723395</v>
      </c>
    </row>
    <row r="910" spans="1:9" ht="17">
      <c r="A910" s="6" t="s">
        <v>2100</v>
      </c>
      <c r="B910" s="6" t="s">
        <v>1691</v>
      </c>
      <c r="C910" s="6">
        <v>31</v>
      </c>
      <c r="D910" s="6" t="s">
        <v>1721</v>
      </c>
      <c r="E910" s="6" t="s">
        <v>72</v>
      </c>
      <c r="F910" s="21">
        <v>10</v>
      </c>
      <c r="G910" s="23">
        <v>146</v>
      </c>
      <c r="H910" s="23">
        <v>51.3</v>
      </c>
      <c r="I910" s="23">
        <v>24.066428973540997</v>
      </c>
    </row>
    <row r="911" spans="1:9" ht="17">
      <c r="A911" s="6" t="s">
        <v>2101</v>
      </c>
      <c r="B911" s="6" t="s">
        <v>1691</v>
      </c>
      <c r="C911" s="6">
        <v>32</v>
      </c>
      <c r="D911" s="6" t="s">
        <v>1722</v>
      </c>
      <c r="E911" s="6" t="s">
        <v>69</v>
      </c>
      <c r="F911" s="21">
        <v>10</v>
      </c>
      <c r="G911" s="23">
        <v>158.5</v>
      </c>
      <c r="H911" s="23">
        <v>54.8</v>
      </c>
      <c r="I911" s="23">
        <v>21.813332802595308</v>
      </c>
    </row>
    <row r="912" spans="1:9" ht="17">
      <c r="A912" s="6" t="s">
        <v>2102</v>
      </c>
      <c r="B912" s="6" t="s">
        <v>1691</v>
      </c>
      <c r="C912" s="6">
        <v>33</v>
      </c>
      <c r="D912" s="6" t="s">
        <v>1723</v>
      </c>
      <c r="E912" s="6" t="s">
        <v>69</v>
      </c>
      <c r="F912" s="21">
        <v>10</v>
      </c>
      <c r="G912" s="23">
        <v>153</v>
      </c>
      <c r="H912" s="23">
        <v>46.5</v>
      </c>
      <c r="I912" s="23">
        <v>19.864154812251698</v>
      </c>
    </row>
    <row r="913" spans="1:9" ht="17">
      <c r="A913" s="6" t="s">
        <v>2103</v>
      </c>
      <c r="B913" s="6" t="s">
        <v>1691</v>
      </c>
      <c r="C913" s="6">
        <v>34</v>
      </c>
      <c r="D913" s="6" t="s">
        <v>1724</v>
      </c>
      <c r="E913" s="6" t="s">
        <v>72</v>
      </c>
      <c r="F913" s="21">
        <v>10</v>
      </c>
      <c r="G913" s="23">
        <v>139.5</v>
      </c>
      <c r="H913" s="23">
        <v>25.8</v>
      </c>
      <c r="I913" s="23">
        <v>13.257794735422207</v>
      </c>
    </row>
    <row r="914" spans="1:9" ht="17">
      <c r="A914" s="6" t="s">
        <v>2104</v>
      </c>
      <c r="B914" s="6" t="s">
        <v>1691</v>
      </c>
      <c r="C914" s="6">
        <v>35</v>
      </c>
      <c r="D914" s="6" t="s">
        <v>1725</v>
      </c>
      <c r="E914" s="6" t="s">
        <v>69</v>
      </c>
      <c r="F914" s="21">
        <v>9</v>
      </c>
      <c r="G914" s="23">
        <v>137</v>
      </c>
      <c r="H914" s="23">
        <v>36.9</v>
      </c>
      <c r="I914" s="23">
        <v>19.660077787841654</v>
      </c>
    </row>
    <row r="915" spans="1:9" ht="17">
      <c r="A915" s="6" t="s">
        <v>2105</v>
      </c>
      <c r="B915" s="6" t="s">
        <v>1726</v>
      </c>
      <c r="C915" s="6">
        <v>1</v>
      </c>
      <c r="D915" s="6" t="s">
        <v>1727</v>
      </c>
      <c r="E915" s="6" t="s">
        <v>72</v>
      </c>
      <c r="F915" s="21">
        <v>11</v>
      </c>
      <c r="G915" s="23">
        <v>146.5</v>
      </c>
      <c r="H915" s="23">
        <v>34.200000000000003</v>
      </c>
      <c r="I915" s="23">
        <v>15.934955561509165</v>
      </c>
    </row>
    <row r="916" spans="1:9" ht="17">
      <c r="A916" s="6" t="s">
        <v>2106</v>
      </c>
      <c r="B916" s="6" t="s">
        <v>1726</v>
      </c>
      <c r="C916" s="6">
        <v>2</v>
      </c>
      <c r="D916" s="6" t="s">
        <v>1728</v>
      </c>
      <c r="E916" s="6" t="s">
        <v>72</v>
      </c>
      <c r="F916" s="21">
        <v>10</v>
      </c>
      <c r="G916" s="23">
        <v>137</v>
      </c>
      <c r="H916" s="23">
        <v>28.6</v>
      </c>
      <c r="I916" s="23">
        <v>15.237892269167245</v>
      </c>
    </row>
    <row r="917" spans="1:9" ht="17">
      <c r="A917" s="6" t="s">
        <v>2107</v>
      </c>
      <c r="B917" s="6" t="s">
        <v>1726</v>
      </c>
      <c r="C917" s="6">
        <v>3</v>
      </c>
      <c r="D917" s="6" t="s">
        <v>1729</v>
      </c>
      <c r="E917" s="6" t="s">
        <v>69</v>
      </c>
      <c r="F917" s="21">
        <v>10</v>
      </c>
      <c r="G917" s="23">
        <v>138.5</v>
      </c>
      <c r="H917" s="23">
        <v>28.4</v>
      </c>
      <c r="I917" s="23">
        <v>14.805353907909655</v>
      </c>
    </row>
    <row r="918" spans="1:9" ht="17">
      <c r="A918" s="6" t="s">
        <v>2108</v>
      </c>
      <c r="B918" s="6" t="s">
        <v>1726</v>
      </c>
      <c r="C918" s="6">
        <v>4</v>
      </c>
      <c r="D918" s="6" t="s">
        <v>1730</v>
      </c>
      <c r="E918" s="6" t="s">
        <v>72</v>
      </c>
      <c r="F918" s="21">
        <v>10</v>
      </c>
      <c r="G918" s="23">
        <v>134</v>
      </c>
      <c r="H918" s="23">
        <v>24</v>
      </c>
      <c r="I918" s="23">
        <v>13.366005791935843</v>
      </c>
    </row>
    <row r="919" spans="1:9" ht="17">
      <c r="A919" s="6" t="s">
        <v>2109</v>
      </c>
      <c r="B919" s="6" t="s">
        <v>1726</v>
      </c>
      <c r="C919" s="6">
        <v>5</v>
      </c>
      <c r="D919" s="6" t="s">
        <v>1731</v>
      </c>
      <c r="E919" s="6" t="s">
        <v>69</v>
      </c>
      <c r="F919" s="21">
        <v>10</v>
      </c>
      <c r="G919" s="23">
        <v>146</v>
      </c>
      <c r="H919" s="23">
        <v>50</v>
      </c>
      <c r="I919" s="23">
        <v>23.456558453743664</v>
      </c>
    </row>
    <row r="920" spans="1:9" ht="17">
      <c r="A920" s="6" t="s">
        <v>2110</v>
      </c>
      <c r="B920" s="6" t="s">
        <v>1726</v>
      </c>
      <c r="C920" s="6">
        <v>6</v>
      </c>
      <c r="D920" s="6" t="s">
        <v>1732</v>
      </c>
      <c r="E920" s="6" t="s">
        <v>69</v>
      </c>
      <c r="F920" s="21">
        <v>10</v>
      </c>
      <c r="G920" s="23">
        <v>132.5</v>
      </c>
      <c r="H920" s="23">
        <v>25.1</v>
      </c>
      <c r="I920" s="23">
        <v>14.296902812388751</v>
      </c>
    </row>
    <row r="921" spans="1:9" ht="17">
      <c r="A921" s="6" t="s">
        <v>2111</v>
      </c>
      <c r="B921" s="6" t="s">
        <v>1726</v>
      </c>
      <c r="C921" s="6">
        <v>7</v>
      </c>
      <c r="D921" s="6" t="s">
        <v>1733</v>
      </c>
      <c r="E921" s="6" t="s">
        <v>72</v>
      </c>
      <c r="F921" s="21">
        <v>10</v>
      </c>
      <c r="G921" s="23">
        <v>133.5</v>
      </c>
      <c r="H921" s="23">
        <v>25.1</v>
      </c>
      <c r="I921" s="23">
        <v>14.083519196509982</v>
      </c>
    </row>
    <row r="922" spans="1:9" ht="17">
      <c r="A922" s="6" t="s">
        <v>2112</v>
      </c>
      <c r="B922" s="6" t="s">
        <v>1726</v>
      </c>
      <c r="C922" s="6">
        <v>8</v>
      </c>
      <c r="D922" s="6" t="s">
        <v>1734</v>
      </c>
      <c r="E922" s="6" t="s">
        <v>69</v>
      </c>
      <c r="F922" s="21">
        <v>10</v>
      </c>
      <c r="G922" s="23">
        <v>128.5</v>
      </c>
      <c r="H922" s="23">
        <v>23.5</v>
      </c>
      <c r="I922" s="23">
        <v>14.231858165907131</v>
      </c>
    </row>
    <row r="923" spans="1:9" ht="17">
      <c r="A923" s="6" t="s">
        <v>2113</v>
      </c>
      <c r="B923" s="6" t="s">
        <v>1726</v>
      </c>
      <c r="C923" s="6">
        <v>9</v>
      </c>
      <c r="D923" s="6" t="s">
        <v>1735</v>
      </c>
      <c r="E923" s="6" t="s">
        <v>69</v>
      </c>
      <c r="F923" s="21">
        <v>10</v>
      </c>
      <c r="G923" s="23">
        <v>149</v>
      </c>
      <c r="H923" s="23">
        <v>37.700000000000003</v>
      </c>
      <c r="I923" s="23">
        <v>16.981217062294494</v>
      </c>
    </row>
    <row r="924" spans="1:9" ht="17">
      <c r="A924" s="6" t="s">
        <v>2114</v>
      </c>
      <c r="B924" s="6" t="s">
        <v>1726</v>
      </c>
      <c r="C924" s="6">
        <v>10</v>
      </c>
      <c r="D924" s="6" t="s">
        <v>1736</v>
      </c>
      <c r="E924" s="6" t="s">
        <v>69</v>
      </c>
      <c r="F924" s="21">
        <v>9</v>
      </c>
      <c r="G924" s="23">
        <v>147.5</v>
      </c>
      <c r="H924" s="23">
        <v>47</v>
      </c>
      <c r="I924" s="23">
        <v>21.602987647227806</v>
      </c>
    </row>
    <row r="925" spans="1:9" ht="17">
      <c r="A925" s="6" t="s">
        <v>2115</v>
      </c>
      <c r="B925" s="6" t="s">
        <v>1726</v>
      </c>
      <c r="C925" s="6">
        <v>11</v>
      </c>
      <c r="D925" s="6" t="s">
        <v>1737</v>
      </c>
      <c r="E925" s="6" t="s">
        <v>72</v>
      </c>
      <c r="F925" s="21">
        <v>9</v>
      </c>
      <c r="G925" s="23">
        <v>144.5</v>
      </c>
      <c r="H925" s="23">
        <v>35.4</v>
      </c>
      <c r="I925" s="23">
        <v>16.95381999736593</v>
      </c>
    </row>
    <row r="926" spans="1:9" ht="17">
      <c r="A926" s="6" t="s">
        <v>2116</v>
      </c>
      <c r="B926" s="6" t="s">
        <v>1726</v>
      </c>
      <c r="C926" s="6">
        <v>12</v>
      </c>
      <c r="D926" s="6" t="s">
        <v>1738</v>
      </c>
      <c r="E926" s="6" t="s">
        <v>69</v>
      </c>
      <c r="F926" s="21">
        <v>10</v>
      </c>
      <c r="G926" s="23">
        <v>144.5</v>
      </c>
      <c r="H926" s="23">
        <v>28.1</v>
      </c>
      <c r="I926" s="23">
        <v>13.457693274745274</v>
      </c>
    </row>
    <row r="927" spans="1:9" ht="17">
      <c r="A927" s="6" t="s">
        <v>2117</v>
      </c>
      <c r="B927" s="6" t="s">
        <v>1726</v>
      </c>
      <c r="C927" s="6">
        <v>13</v>
      </c>
      <c r="D927" s="6" t="s">
        <v>1739</v>
      </c>
      <c r="E927" s="6" t="s">
        <v>69</v>
      </c>
      <c r="F927" s="21">
        <v>10</v>
      </c>
      <c r="G927" s="23">
        <v>145.5</v>
      </c>
      <c r="H927" s="23">
        <v>37.9</v>
      </c>
      <c r="I927" s="23">
        <v>17.90248107603831</v>
      </c>
    </row>
    <row r="928" spans="1:9" ht="17">
      <c r="A928" s="6" t="s">
        <v>2118</v>
      </c>
      <c r="B928" s="6" t="s">
        <v>1726</v>
      </c>
      <c r="C928" s="6">
        <v>14</v>
      </c>
      <c r="D928" s="6" t="s">
        <v>1740</v>
      </c>
      <c r="E928" s="6" t="s">
        <v>72</v>
      </c>
      <c r="F928" s="21">
        <v>10</v>
      </c>
      <c r="G928" s="23">
        <v>139</v>
      </c>
      <c r="H928" s="23">
        <v>41.3</v>
      </c>
      <c r="I928" s="23">
        <v>21.375705191242687</v>
      </c>
    </row>
    <row r="929" spans="1:9" ht="17">
      <c r="A929" s="6" t="s">
        <v>2119</v>
      </c>
      <c r="B929" s="6" t="s">
        <v>1726</v>
      </c>
      <c r="C929" s="6">
        <v>15</v>
      </c>
      <c r="D929" s="6" t="s">
        <v>1741</v>
      </c>
      <c r="E929" s="6" t="s">
        <v>72</v>
      </c>
      <c r="F929" s="21">
        <v>9</v>
      </c>
      <c r="G929" s="23">
        <v>136.5</v>
      </c>
      <c r="H929" s="23">
        <v>32.9</v>
      </c>
      <c r="I929" s="23">
        <v>17.657556119094579</v>
      </c>
    </row>
    <row r="930" spans="1:9" ht="17">
      <c r="A930" s="6" t="s">
        <v>2120</v>
      </c>
      <c r="B930" s="6" t="s">
        <v>1726</v>
      </c>
      <c r="C930" s="6">
        <v>16</v>
      </c>
      <c r="D930" s="6" t="s">
        <v>1742</v>
      </c>
      <c r="E930" s="6" t="s">
        <v>72</v>
      </c>
      <c r="F930" s="21">
        <v>10</v>
      </c>
      <c r="G930" s="23">
        <v>134.5</v>
      </c>
      <c r="H930" s="23">
        <v>27.8</v>
      </c>
      <c r="I930" s="23">
        <v>15.36739403822501</v>
      </c>
    </row>
    <row r="931" spans="1:9" ht="17">
      <c r="A931" s="6" t="s">
        <v>2121</v>
      </c>
      <c r="B931" s="6" t="s">
        <v>1726</v>
      </c>
      <c r="C931" s="6">
        <v>17</v>
      </c>
      <c r="D931" s="6" t="s">
        <v>1743</v>
      </c>
      <c r="E931" s="6" t="s">
        <v>69</v>
      </c>
      <c r="F931" s="21">
        <v>9</v>
      </c>
      <c r="G931" s="23">
        <v>137.5</v>
      </c>
      <c r="H931" s="23">
        <v>33.4</v>
      </c>
      <c r="I931" s="23">
        <v>17.666115702479338</v>
      </c>
    </row>
    <row r="932" spans="1:9" ht="17">
      <c r="A932" s="6" t="s">
        <v>2122</v>
      </c>
      <c r="B932" s="6" t="s">
        <v>1726</v>
      </c>
      <c r="C932" s="6">
        <v>18</v>
      </c>
      <c r="D932" s="6" t="s">
        <v>1744</v>
      </c>
      <c r="E932" s="6" t="s">
        <v>69</v>
      </c>
      <c r="F932" s="21">
        <v>9</v>
      </c>
      <c r="G932" s="23">
        <v>123</v>
      </c>
      <c r="H932" s="23">
        <v>20.6</v>
      </c>
      <c r="I932" s="23">
        <v>13.616233723312845</v>
      </c>
    </row>
    <row r="933" spans="1:9" ht="17">
      <c r="A933" s="6" t="s">
        <v>2123</v>
      </c>
      <c r="B933" s="6" t="s">
        <v>1726</v>
      </c>
      <c r="C933" s="6">
        <v>19</v>
      </c>
      <c r="D933" s="6" t="s">
        <v>1745</v>
      </c>
      <c r="E933" s="6" t="s">
        <v>69</v>
      </c>
      <c r="F933" s="21">
        <v>9</v>
      </c>
      <c r="G933" s="23">
        <v>137</v>
      </c>
      <c r="H933" s="23">
        <v>36.1</v>
      </c>
      <c r="I933" s="23">
        <v>19.23384303905376</v>
      </c>
    </row>
    <row r="934" spans="1:9" ht="17">
      <c r="A934" s="6" t="s">
        <v>2124</v>
      </c>
      <c r="B934" s="6" t="s">
        <v>1726</v>
      </c>
      <c r="C934" s="6">
        <v>20</v>
      </c>
      <c r="D934" s="6" t="s">
        <v>1746</v>
      </c>
      <c r="E934" s="6" t="s">
        <v>72</v>
      </c>
      <c r="F934" s="21">
        <v>9</v>
      </c>
      <c r="G934" s="23">
        <v>137</v>
      </c>
      <c r="H934" s="23">
        <v>37.799999999999997</v>
      </c>
      <c r="I934" s="23">
        <v>20.139591880228036</v>
      </c>
    </row>
    <row r="935" spans="1:9" ht="17">
      <c r="A935" s="6" t="s">
        <v>2125</v>
      </c>
      <c r="B935" s="6" t="s">
        <v>1726</v>
      </c>
      <c r="C935" s="6">
        <v>21</v>
      </c>
      <c r="D935" s="6" t="s">
        <v>1747</v>
      </c>
      <c r="E935" s="6" t="s">
        <v>72</v>
      </c>
      <c r="F935" s="21">
        <v>10</v>
      </c>
      <c r="G935" s="23">
        <v>134.5</v>
      </c>
      <c r="H935" s="23">
        <v>30.7</v>
      </c>
      <c r="I935" s="23">
        <v>16.970467517032656</v>
      </c>
    </row>
    <row r="936" spans="1:9" ht="17">
      <c r="A936" s="6" t="s">
        <v>2126</v>
      </c>
      <c r="B936" s="6" t="s">
        <v>1726</v>
      </c>
      <c r="C936" s="6">
        <v>22</v>
      </c>
      <c r="D936" s="6" t="s">
        <v>1748</v>
      </c>
      <c r="E936" s="6" t="s">
        <v>72</v>
      </c>
      <c r="F936" s="21">
        <v>10</v>
      </c>
      <c r="G936" s="23">
        <v>136</v>
      </c>
      <c r="H936" s="23">
        <v>40</v>
      </c>
      <c r="I936" s="23">
        <v>21.626297577854672</v>
      </c>
    </row>
    <row r="937" spans="1:9" ht="17">
      <c r="A937" s="6" t="s">
        <v>2127</v>
      </c>
      <c r="B937" s="6" t="s">
        <v>1726</v>
      </c>
      <c r="C937" s="6">
        <v>23</v>
      </c>
      <c r="D937" s="6" t="s">
        <v>1749</v>
      </c>
      <c r="E937" s="6" t="s">
        <v>69</v>
      </c>
      <c r="F937" s="21">
        <v>10</v>
      </c>
      <c r="G937" s="23">
        <v>137</v>
      </c>
      <c r="H937" s="23">
        <v>40.799999999999997</v>
      </c>
      <c r="I937" s="23">
        <v>21.737972188182638</v>
      </c>
    </row>
    <row r="938" spans="1:9" ht="17">
      <c r="A938" s="6" t="s">
        <v>2128</v>
      </c>
      <c r="B938" s="6" t="s">
        <v>1726</v>
      </c>
      <c r="C938" s="6">
        <v>24</v>
      </c>
      <c r="D938" s="6" t="s">
        <v>1750</v>
      </c>
      <c r="E938" s="6" t="s">
        <v>69</v>
      </c>
      <c r="F938" s="21">
        <v>10</v>
      </c>
      <c r="G938" s="23">
        <v>153.5</v>
      </c>
      <c r="H938" s="23">
        <v>45.5</v>
      </c>
      <c r="I938" s="23">
        <v>19.310549714055323</v>
      </c>
    </row>
    <row r="939" spans="1:9" ht="17">
      <c r="A939" s="6" t="s">
        <v>2129</v>
      </c>
      <c r="B939" s="6" t="s">
        <v>1726</v>
      </c>
      <c r="C939" s="6">
        <v>25</v>
      </c>
      <c r="D939" s="6" t="s">
        <v>1751</v>
      </c>
      <c r="E939" s="6" t="s">
        <v>72</v>
      </c>
      <c r="F939" s="21">
        <v>10</v>
      </c>
      <c r="G939" s="23">
        <v>136.5</v>
      </c>
      <c r="H939" s="23">
        <v>32</v>
      </c>
      <c r="I939" s="23">
        <v>17.174522669028164</v>
      </c>
    </row>
    <row r="940" spans="1:9" ht="17">
      <c r="A940" s="6" t="s">
        <v>2130</v>
      </c>
      <c r="B940" s="6" t="s">
        <v>1726</v>
      </c>
      <c r="C940" s="6">
        <v>26</v>
      </c>
      <c r="D940" s="6" t="s">
        <v>1752</v>
      </c>
      <c r="E940" s="6" t="s">
        <v>69</v>
      </c>
      <c r="F940" s="21">
        <v>10</v>
      </c>
      <c r="G940" s="23">
        <v>155.5</v>
      </c>
      <c r="H940" s="23">
        <v>46.5</v>
      </c>
      <c r="I940" s="23">
        <v>19.230570403531807</v>
      </c>
    </row>
    <row r="941" spans="1:9" ht="17">
      <c r="A941" s="6" t="s">
        <v>2131</v>
      </c>
      <c r="B941" s="6" t="s">
        <v>1726</v>
      </c>
      <c r="C941" s="6">
        <v>27</v>
      </c>
      <c r="D941" s="6" t="s">
        <v>1753</v>
      </c>
      <c r="E941" s="6" t="s">
        <v>69</v>
      </c>
      <c r="F941" s="21">
        <v>10</v>
      </c>
      <c r="G941" s="23">
        <v>141.5</v>
      </c>
      <c r="H941" s="23">
        <v>41</v>
      </c>
      <c r="I941" s="23">
        <v>20.477219093758194</v>
      </c>
    </row>
    <row r="942" spans="1:9" ht="17">
      <c r="A942" s="6" t="s">
        <v>2132</v>
      </c>
      <c r="B942" s="6" t="s">
        <v>1726</v>
      </c>
      <c r="C942" s="6">
        <v>28</v>
      </c>
      <c r="D942" s="6" t="s">
        <v>1754</v>
      </c>
      <c r="E942" s="6" t="s">
        <v>69</v>
      </c>
      <c r="F942" s="21">
        <v>10</v>
      </c>
      <c r="G942" s="23">
        <v>135.5</v>
      </c>
      <c r="H942" s="23">
        <v>39.6</v>
      </c>
      <c r="I942" s="23">
        <v>21.568333764518457</v>
      </c>
    </row>
    <row r="943" spans="1:9" ht="17">
      <c r="A943" s="6" t="s">
        <v>2133</v>
      </c>
      <c r="B943" s="6" t="s">
        <v>1726</v>
      </c>
      <c r="C943" s="6">
        <v>29</v>
      </c>
      <c r="D943" s="6" t="s">
        <v>1755</v>
      </c>
      <c r="E943" s="6" t="s">
        <v>72</v>
      </c>
      <c r="F943" s="21">
        <v>10</v>
      </c>
      <c r="G943" s="23">
        <v>143</v>
      </c>
      <c r="H943" s="23">
        <v>30.9</v>
      </c>
      <c r="I943" s="23">
        <v>15.110763362511612</v>
      </c>
    </row>
    <row r="944" spans="1:9" ht="17">
      <c r="A944" s="6" t="s">
        <v>2134</v>
      </c>
      <c r="B944" s="6" t="s">
        <v>1726</v>
      </c>
      <c r="C944" s="6">
        <v>30</v>
      </c>
      <c r="D944" s="6" t="s">
        <v>1756</v>
      </c>
      <c r="E944" s="6" t="s">
        <v>72</v>
      </c>
      <c r="F944" s="21">
        <v>10</v>
      </c>
      <c r="G944" s="23">
        <v>142.5</v>
      </c>
      <c r="H944" s="23">
        <v>33.5</v>
      </c>
      <c r="I944" s="23">
        <v>16.4973838104032</v>
      </c>
    </row>
    <row r="945" spans="1:9" ht="17">
      <c r="A945" s="6" t="s">
        <v>2135</v>
      </c>
      <c r="B945" s="6" t="s">
        <v>1726</v>
      </c>
      <c r="C945" s="6">
        <v>31</v>
      </c>
      <c r="D945" s="6" t="s">
        <v>1757</v>
      </c>
      <c r="E945" s="6" t="s">
        <v>72</v>
      </c>
      <c r="F945" s="21">
        <v>10</v>
      </c>
      <c r="G945" s="23">
        <v>145</v>
      </c>
      <c r="H945" s="23">
        <v>45.2</v>
      </c>
      <c r="I945" s="23">
        <v>21.498216409036861</v>
      </c>
    </row>
    <row r="946" spans="1:9" ht="17">
      <c r="A946" s="6" t="s">
        <v>2136</v>
      </c>
      <c r="B946" s="6" t="s">
        <v>1726</v>
      </c>
      <c r="C946" s="6">
        <v>32</v>
      </c>
      <c r="D946" s="6" t="s">
        <v>1758</v>
      </c>
      <c r="E946" s="6" t="s">
        <v>72</v>
      </c>
      <c r="F946" s="21">
        <v>10</v>
      </c>
      <c r="G946" s="23">
        <v>143</v>
      </c>
      <c r="H946" s="23">
        <v>40.700000000000003</v>
      </c>
      <c r="I946" s="23">
        <v>19.903173749327596</v>
      </c>
    </row>
    <row r="947" spans="1:9" ht="17">
      <c r="A947" s="6" t="s">
        <v>2137</v>
      </c>
      <c r="B947" s="6" t="s">
        <v>1726</v>
      </c>
      <c r="C947" s="6">
        <v>33</v>
      </c>
      <c r="D947" s="6" t="s">
        <v>120</v>
      </c>
      <c r="E947" s="6" t="s">
        <v>69</v>
      </c>
      <c r="F947" s="21">
        <v>10</v>
      </c>
      <c r="G947" s="23">
        <v>133</v>
      </c>
      <c r="H947" s="23">
        <v>27.7</v>
      </c>
      <c r="I947" s="23">
        <v>15.659449375317994</v>
      </c>
    </row>
    <row r="948" spans="1:9" ht="17">
      <c r="A948" s="6" t="s">
        <v>2138</v>
      </c>
      <c r="B948" s="6" t="s">
        <v>1726</v>
      </c>
      <c r="C948" s="6">
        <v>34</v>
      </c>
      <c r="D948" s="6" t="s">
        <v>1759</v>
      </c>
      <c r="E948" s="6" t="s">
        <v>72</v>
      </c>
      <c r="F948" s="21">
        <v>10</v>
      </c>
      <c r="G948" s="23">
        <v>145.5</v>
      </c>
      <c r="H948" s="23">
        <v>45.5</v>
      </c>
      <c r="I948" s="23">
        <v>21.492424510811162</v>
      </c>
    </row>
    <row r="949" spans="1:9" ht="17">
      <c r="A949" s="6" t="s">
        <v>2139</v>
      </c>
      <c r="B949" s="6" t="s">
        <v>1726</v>
      </c>
      <c r="C949" s="6">
        <v>35</v>
      </c>
      <c r="D949" s="6" t="s">
        <v>1760</v>
      </c>
      <c r="E949" s="6" t="s">
        <v>69</v>
      </c>
      <c r="F949" s="21">
        <v>10</v>
      </c>
      <c r="G949" s="23">
        <v>133</v>
      </c>
      <c r="H949" s="23">
        <v>21.3</v>
      </c>
      <c r="I949" s="23">
        <v>12.041381649612754</v>
      </c>
    </row>
    <row r="950" spans="1:9" ht="17">
      <c r="A950" s="6" t="s">
        <v>2140</v>
      </c>
      <c r="B950" s="6" t="s">
        <v>1761</v>
      </c>
      <c r="C950" s="6">
        <v>1</v>
      </c>
      <c r="D950" s="6" t="s">
        <v>1762</v>
      </c>
      <c r="E950" s="6" t="s">
        <v>72</v>
      </c>
      <c r="F950" s="21">
        <v>11</v>
      </c>
      <c r="G950" s="23">
        <v>150.5</v>
      </c>
      <c r="H950" s="23">
        <v>62.4</v>
      </c>
      <c r="I950" s="23">
        <v>27.549364797298043</v>
      </c>
    </row>
    <row r="951" spans="1:9" ht="17">
      <c r="A951" s="6" t="s">
        <v>2141</v>
      </c>
      <c r="B951" s="6" t="s">
        <v>1761</v>
      </c>
      <c r="C951" s="6">
        <v>2</v>
      </c>
      <c r="D951" s="6" t="s">
        <v>1763</v>
      </c>
      <c r="E951" s="6" t="s">
        <v>72</v>
      </c>
      <c r="F951" s="21">
        <v>11</v>
      </c>
      <c r="G951" s="23">
        <v>147.5</v>
      </c>
      <c r="H951" s="23">
        <v>32.9</v>
      </c>
      <c r="I951" s="23">
        <v>15.122091353059464</v>
      </c>
    </row>
    <row r="952" spans="1:9" ht="17">
      <c r="A952" s="6" t="s">
        <v>2142</v>
      </c>
      <c r="B952" s="6" t="s">
        <v>1761</v>
      </c>
      <c r="C952" s="6">
        <v>3</v>
      </c>
      <c r="D952" s="6" t="s">
        <v>1764</v>
      </c>
      <c r="E952" s="6" t="s">
        <v>69</v>
      </c>
      <c r="F952" s="21">
        <v>11</v>
      </c>
      <c r="G952" s="23">
        <v>152</v>
      </c>
      <c r="H952" s="23">
        <v>41.8</v>
      </c>
      <c r="I952" s="23">
        <v>18.092105263157894</v>
      </c>
    </row>
    <row r="953" spans="1:9" ht="17">
      <c r="A953" s="6" t="s">
        <v>2143</v>
      </c>
      <c r="B953" s="6" t="s">
        <v>1761</v>
      </c>
      <c r="C953" s="6">
        <v>4</v>
      </c>
      <c r="D953" s="6" t="s">
        <v>1765</v>
      </c>
      <c r="E953" s="6" t="s">
        <v>69</v>
      </c>
      <c r="F953" s="21">
        <v>11</v>
      </c>
      <c r="G953" s="23">
        <v>144</v>
      </c>
      <c r="H953" s="23">
        <v>29.6</v>
      </c>
      <c r="I953" s="23">
        <v>14.274691358024693</v>
      </c>
    </row>
    <row r="954" spans="1:9" ht="17">
      <c r="A954" s="6" t="s">
        <v>2144</v>
      </c>
      <c r="B954" s="6" t="s">
        <v>1761</v>
      </c>
      <c r="C954" s="6">
        <v>5</v>
      </c>
      <c r="D954" s="6" t="s">
        <v>1766</v>
      </c>
      <c r="E954" s="6" t="s">
        <v>69</v>
      </c>
      <c r="F954" s="21">
        <v>10</v>
      </c>
      <c r="G954" s="23">
        <v>141.5</v>
      </c>
      <c r="H954" s="23">
        <v>34.700000000000003</v>
      </c>
      <c r="I954" s="23">
        <v>17.330719574473399</v>
      </c>
    </row>
    <row r="955" spans="1:9" ht="17">
      <c r="A955" s="6" t="s">
        <v>2145</v>
      </c>
      <c r="B955" s="6" t="s">
        <v>1761</v>
      </c>
      <c r="C955" s="6">
        <v>6</v>
      </c>
      <c r="D955" s="6" t="s">
        <v>1767</v>
      </c>
      <c r="E955" s="6" t="s">
        <v>72</v>
      </c>
      <c r="F955" s="21">
        <v>11</v>
      </c>
      <c r="G955" s="23">
        <v>150</v>
      </c>
      <c r="H955" s="23">
        <v>41</v>
      </c>
      <c r="I955" s="23">
        <v>18.222222222222221</v>
      </c>
    </row>
    <row r="956" spans="1:9" ht="17">
      <c r="A956" s="6" t="s">
        <v>2146</v>
      </c>
      <c r="B956" s="6" t="s">
        <v>1761</v>
      </c>
      <c r="C956" s="6">
        <v>7</v>
      </c>
      <c r="D956" s="6" t="s">
        <v>1768</v>
      </c>
      <c r="E956" s="6" t="s">
        <v>72</v>
      </c>
      <c r="F956" s="21">
        <v>10</v>
      </c>
      <c r="G956" s="23">
        <v>140.5</v>
      </c>
      <c r="H956" s="23">
        <v>31.2</v>
      </c>
      <c r="I956" s="23">
        <v>15.805270956548169</v>
      </c>
    </row>
    <row r="957" spans="1:9" ht="17">
      <c r="A957" s="6" t="s">
        <v>2147</v>
      </c>
      <c r="B957" s="6" t="s">
        <v>1761</v>
      </c>
      <c r="C957" s="6">
        <v>8</v>
      </c>
      <c r="D957" s="6" t="s">
        <v>1769</v>
      </c>
      <c r="E957" s="6" t="s">
        <v>72</v>
      </c>
      <c r="F957" s="21">
        <v>11</v>
      </c>
      <c r="G957" s="23">
        <v>144.5</v>
      </c>
      <c r="H957" s="23">
        <v>29.2</v>
      </c>
      <c r="I957" s="23">
        <v>13.984506890482633</v>
      </c>
    </row>
    <row r="958" spans="1:9" ht="17">
      <c r="A958" s="6" t="s">
        <v>2148</v>
      </c>
      <c r="B958" s="6" t="s">
        <v>1761</v>
      </c>
      <c r="C958" s="6">
        <v>9</v>
      </c>
      <c r="D958" s="6" t="s">
        <v>1770</v>
      </c>
      <c r="E958" s="6" t="s">
        <v>72</v>
      </c>
      <c r="F958" s="21">
        <v>11</v>
      </c>
      <c r="G958" s="23">
        <v>142</v>
      </c>
      <c r="H958" s="23">
        <v>29.8</v>
      </c>
      <c r="I958" s="23">
        <v>14.778813727435033</v>
      </c>
    </row>
    <row r="959" spans="1:9" ht="17">
      <c r="A959" s="6" t="s">
        <v>2149</v>
      </c>
      <c r="B959" s="6" t="s">
        <v>1761</v>
      </c>
      <c r="C959" s="6">
        <v>10</v>
      </c>
      <c r="D959" s="6" t="s">
        <v>1771</v>
      </c>
      <c r="E959" s="6" t="s">
        <v>69</v>
      </c>
      <c r="F959" s="21">
        <v>10</v>
      </c>
      <c r="G959" s="23">
        <v>132</v>
      </c>
      <c r="H959" s="23">
        <v>26.2</v>
      </c>
      <c r="I959" s="23">
        <v>15.036730945821855</v>
      </c>
    </row>
    <row r="960" spans="1:9" ht="17">
      <c r="A960" s="6" t="s">
        <v>2150</v>
      </c>
      <c r="B960" s="6" t="s">
        <v>1761</v>
      </c>
      <c r="C960" s="6">
        <v>11</v>
      </c>
      <c r="D960" s="6" t="s">
        <v>1772</v>
      </c>
      <c r="E960" s="6" t="s">
        <v>69</v>
      </c>
      <c r="F960" s="21">
        <v>12</v>
      </c>
      <c r="G960" s="23">
        <v>164.5</v>
      </c>
      <c r="H960" s="23">
        <v>71.2</v>
      </c>
      <c r="I960" s="23">
        <v>26.311656396374758</v>
      </c>
    </row>
    <row r="961" spans="1:9" ht="17">
      <c r="A961" s="6" t="s">
        <v>2151</v>
      </c>
      <c r="B961" s="6" t="s">
        <v>1761</v>
      </c>
      <c r="C961" s="6">
        <v>12</v>
      </c>
      <c r="D961" s="6" t="s">
        <v>1773</v>
      </c>
      <c r="E961" s="6" t="s">
        <v>72</v>
      </c>
      <c r="F961" s="21">
        <v>11</v>
      </c>
      <c r="G961" s="23">
        <v>154</v>
      </c>
      <c r="H961" s="23">
        <v>48.2</v>
      </c>
      <c r="I961" s="23">
        <v>20.323832012143701</v>
      </c>
    </row>
    <row r="962" spans="1:9" ht="17">
      <c r="A962" s="6" t="s">
        <v>2152</v>
      </c>
      <c r="B962" s="6" t="s">
        <v>1761</v>
      </c>
      <c r="C962" s="6">
        <v>13</v>
      </c>
      <c r="D962" s="6" t="s">
        <v>1774</v>
      </c>
      <c r="E962" s="6" t="s">
        <v>69</v>
      </c>
      <c r="F962" s="21">
        <v>11</v>
      </c>
      <c r="G962" s="23">
        <v>137.5</v>
      </c>
      <c r="H962" s="23">
        <v>25</v>
      </c>
      <c r="I962" s="23">
        <v>13.223140495867769</v>
      </c>
    </row>
    <row r="963" spans="1:9" ht="17">
      <c r="A963" s="6" t="s">
        <v>2153</v>
      </c>
      <c r="B963" s="6" t="s">
        <v>1761</v>
      </c>
      <c r="C963" s="6">
        <v>14</v>
      </c>
      <c r="D963" s="6" t="s">
        <v>1775</v>
      </c>
      <c r="E963" s="6" t="s">
        <v>69</v>
      </c>
      <c r="F963" s="21">
        <v>10</v>
      </c>
      <c r="G963" s="23">
        <v>146.5</v>
      </c>
      <c r="H963" s="23">
        <v>42.7</v>
      </c>
      <c r="I963" s="23">
        <v>19.895397733229277</v>
      </c>
    </row>
    <row r="964" spans="1:9" ht="17">
      <c r="A964" s="6" t="s">
        <v>2154</v>
      </c>
      <c r="B964" s="6" t="s">
        <v>1761</v>
      </c>
      <c r="C964" s="6">
        <v>15</v>
      </c>
      <c r="D964" s="6" t="s">
        <v>1776</v>
      </c>
      <c r="E964" s="6" t="s">
        <v>72</v>
      </c>
      <c r="F964" s="21">
        <v>10</v>
      </c>
      <c r="G964" s="23">
        <v>151</v>
      </c>
      <c r="H964" s="23">
        <v>39.700000000000003</v>
      </c>
      <c r="I964" s="23">
        <v>17.411517038726373</v>
      </c>
    </row>
    <row r="965" spans="1:9" ht="17">
      <c r="A965" s="6" t="s">
        <v>2155</v>
      </c>
      <c r="B965" s="6" t="s">
        <v>1761</v>
      </c>
      <c r="C965" s="6">
        <v>16</v>
      </c>
      <c r="D965" s="6" t="s">
        <v>1777</v>
      </c>
      <c r="E965" s="6" t="s">
        <v>69</v>
      </c>
      <c r="F965" s="21">
        <v>10</v>
      </c>
      <c r="G965" s="23">
        <v>141</v>
      </c>
      <c r="H965" s="23">
        <v>43.5</v>
      </c>
      <c r="I965" s="23">
        <v>21.880187113324279</v>
      </c>
    </row>
    <row r="966" spans="1:9" ht="17">
      <c r="A966" s="6" t="s">
        <v>2156</v>
      </c>
      <c r="B966" s="6" t="s">
        <v>1761</v>
      </c>
      <c r="C966" s="6">
        <v>17</v>
      </c>
      <c r="D966" s="6" t="s">
        <v>1778</v>
      </c>
      <c r="E966" s="6" t="s">
        <v>69</v>
      </c>
      <c r="F966" s="21">
        <v>10</v>
      </c>
      <c r="G966" s="23">
        <v>135.5</v>
      </c>
      <c r="H966" s="23">
        <v>24.9</v>
      </c>
      <c r="I966" s="23">
        <v>13.561906836780544</v>
      </c>
    </row>
    <row r="967" spans="1:9" ht="17">
      <c r="A967" s="6" t="s">
        <v>2157</v>
      </c>
      <c r="B967" s="6" t="s">
        <v>1761</v>
      </c>
      <c r="C967" s="6">
        <v>18</v>
      </c>
      <c r="D967" s="6" t="s">
        <v>1779</v>
      </c>
      <c r="E967" s="6" t="s">
        <v>69</v>
      </c>
      <c r="F967" s="21">
        <v>11</v>
      </c>
      <c r="G967" s="23">
        <v>151</v>
      </c>
      <c r="H967" s="23">
        <v>41.3</v>
      </c>
      <c r="I967" s="23">
        <v>18.113240647340028</v>
      </c>
    </row>
    <row r="968" spans="1:9" ht="17">
      <c r="A968" s="6" t="s">
        <v>2158</v>
      </c>
      <c r="B968" s="6" t="s">
        <v>1761</v>
      </c>
      <c r="C968" s="6">
        <v>19</v>
      </c>
      <c r="D968" s="6" t="s">
        <v>1780</v>
      </c>
      <c r="E968" s="6" t="s">
        <v>72</v>
      </c>
      <c r="F968" s="21">
        <v>11</v>
      </c>
      <c r="G968" s="23">
        <v>141.5</v>
      </c>
      <c r="H968" s="23">
        <v>37.4</v>
      </c>
      <c r="I968" s="23">
        <v>18.679219368452593</v>
      </c>
    </row>
    <row r="969" spans="1:9" ht="17">
      <c r="A969" s="6" t="s">
        <v>2159</v>
      </c>
      <c r="B969" s="6" t="s">
        <v>1761</v>
      </c>
      <c r="C969" s="6">
        <v>20</v>
      </c>
      <c r="D969" s="6" t="s">
        <v>1781</v>
      </c>
      <c r="E969" s="6" t="s">
        <v>69</v>
      </c>
      <c r="F969" s="21">
        <v>10</v>
      </c>
      <c r="G969" s="23">
        <v>138.5</v>
      </c>
      <c r="H969" s="23">
        <v>27.9</v>
      </c>
      <c r="I969" s="23">
        <v>14.544696268685893</v>
      </c>
    </row>
    <row r="970" spans="1:9" ht="17">
      <c r="A970" s="6" t="s">
        <v>2160</v>
      </c>
      <c r="B970" s="6" t="s">
        <v>1761</v>
      </c>
      <c r="C970" s="6">
        <v>21</v>
      </c>
      <c r="D970" s="6" t="s">
        <v>1782</v>
      </c>
      <c r="E970" s="6" t="s">
        <v>72</v>
      </c>
      <c r="F970" s="21">
        <v>11</v>
      </c>
      <c r="G970" s="23">
        <v>141</v>
      </c>
      <c r="H970" s="23">
        <v>41.4</v>
      </c>
      <c r="I970" s="23">
        <v>20.823902218198278</v>
      </c>
    </row>
    <row r="971" spans="1:9" ht="17">
      <c r="A971" s="6" t="s">
        <v>2161</v>
      </c>
      <c r="B971" s="6" t="s">
        <v>1761</v>
      </c>
      <c r="C971" s="6">
        <v>22</v>
      </c>
      <c r="D971" s="6" t="s">
        <v>1783</v>
      </c>
      <c r="E971" s="6" t="s">
        <v>69</v>
      </c>
      <c r="F971" s="21">
        <v>11</v>
      </c>
      <c r="G971" s="23">
        <v>141</v>
      </c>
      <c r="H971" s="23">
        <v>25.5</v>
      </c>
      <c r="I971" s="23">
        <v>12.826316583672854</v>
      </c>
    </row>
    <row r="972" spans="1:9" ht="17">
      <c r="A972" s="6" t="s">
        <v>2162</v>
      </c>
      <c r="B972" s="6" t="s">
        <v>1761</v>
      </c>
      <c r="C972" s="6">
        <v>23</v>
      </c>
      <c r="D972" s="6" t="s">
        <v>1784</v>
      </c>
      <c r="E972" s="6" t="s">
        <v>69</v>
      </c>
      <c r="F972" s="21">
        <v>10</v>
      </c>
      <c r="G972" s="23">
        <v>140.5</v>
      </c>
      <c r="H972" s="23">
        <v>36.1</v>
      </c>
      <c r="I972" s="23">
        <v>18.287509023441952</v>
      </c>
    </row>
    <row r="973" spans="1:9" ht="17">
      <c r="A973" s="6" t="s">
        <v>2163</v>
      </c>
      <c r="B973" s="6" t="s">
        <v>1761</v>
      </c>
      <c r="C973" s="6">
        <v>24</v>
      </c>
      <c r="D973" s="6" t="s">
        <v>1785</v>
      </c>
      <c r="E973" s="6" t="s">
        <v>72</v>
      </c>
      <c r="F973" s="21">
        <v>11</v>
      </c>
      <c r="G973" s="23">
        <v>146.5</v>
      </c>
      <c r="H973" s="23">
        <v>33.1</v>
      </c>
      <c r="I973" s="23">
        <v>15.422427751051266</v>
      </c>
    </row>
    <row r="974" spans="1:9" ht="17">
      <c r="A974" s="6" t="s">
        <v>2164</v>
      </c>
      <c r="B974" s="6" t="s">
        <v>1761</v>
      </c>
      <c r="C974" s="6">
        <v>25</v>
      </c>
      <c r="D974" s="6" t="s">
        <v>1786</v>
      </c>
      <c r="E974" s="6" t="s">
        <v>69</v>
      </c>
      <c r="F974" s="21">
        <v>11</v>
      </c>
      <c r="G974" s="23">
        <v>155.5</v>
      </c>
      <c r="H974" s="23">
        <v>42.5</v>
      </c>
      <c r="I974" s="23">
        <v>17.576327788174233</v>
      </c>
    </row>
    <row r="975" spans="1:9" ht="17">
      <c r="A975" s="6" t="s">
        <v>2165</v>
      </c>
      <c r="B975" s="6" t="s">
        <v>1761</v>
      </c>
      <c r="C975" s="6">
        <v>26</v>
      </c>
      <c r="D975" s="6" t="s">
        <v>1787</v>
      </c>
      <c r="E975" s="6" t="s">
        <v>72</v>
      </c>
      <c r="F975" s="21">
        <v>11</v>
      </c>
      <c r="G975" s="23">
        <v>155.5</v>
      </c>
      <c r="H975" s="23">
        <v>46.1</v>
      </c>
      <c r="I975" s="23">
        <v>19.065146141996049</v>
      </c>
    </row>
    <row r="976" spans="1:9" ht="17">
      <c r="A976" s="6" t="s">
        <v>2166</v>
      </c>
      <c r="B976" s="6" t="s">
        <v>1761</v>
      </c>
      <c r="C976" s="6">
        <v>27</v>
      </c>
      <c r="D976" s="6" t="s">
        <v>1788</v>
      </c>
      <c r="E976" s="6" t="s">
        <v>69</v>
      </c>
      <c r="F976" s="21">
        <v>11</v>
      </c>
      <c r="G976" s="23">
        <v>144.5</v>
      </c>
      <c r="H976" s="23">
        <v>31.5</v>
      </c>
      <c r="I976" s="23">
        <v>15.086026268842566</v>
      </c>
    </row>
    <row r="977" spans="1:9" ht="17">
      <c r="A977" s="6" t="s">
        <v>2167</v>
      </c>
      <c r="B977" s="6" t="s">
        <v>1761</v>
      </c>
      <c r="C977" s="6">
        <v>28</v>
      </c>
      <c r="D977" s="6" t="s">
        <v>1789</v>
      </c>
      <c r="E977" s="6" t="s">
        <v>69</v>
      </c>
      <c r="F977" s="21">
        <v>11</v>
      </c>
      <c r="G977" s="23">
        <v>157.5</v>
      </c>
      <c r="H977" s="23">
        <v>35.6</v>
      </c>
      <c r="I977" s="23">
        <v>14.351221970269592</v>
      </c>
    </row>
    <row r="978" spans="1:9" ht="17">
      <c r="A978" s="6" t="s">
        <v>2168</v>
      </c>
      <c r="B978" s="6" t="s">
        <v>1761</v>
      </c>
      <c r="C978" s="6">
        <v>29</v>
      </c>
      <c r="D978" s="6" t="s">
        <v>1790</v>
      </c>
      <c r="E978" s="6" t="s">
        <v>69</v>
      </c>
      <c r="F978" s="21">
        <v>11</v>
      </c>
      <c r="G978" s="23">
        <v>145</v>
      </c>
      <c r="H978" s="23">
        <v>51.3</v>
      </c>
      <c r="I978" s="23">
        <v>24.399524375743162</v>
      </c>
    </row>
    <row r="979" spans="1:9" ht="17">
      <c r="A979" s="6" t="s">
        <v>2169</v>
      </c>
      <c r="B979" s="6" t="s">
        <v>1761</v>
      </c>
      <c r="C979" s="6">
        <v>30</v>
      </c>
      <c r="D979" s="6" t="s">
        <v>1791</v>
      </c>
      <c r="E979" s="6" t="s">
        <v>69</v>
      </c>
      <c r="F979" s="21">
        <v>11</v>
      </c>
      <c r="G979" s="23">
        <v>151</v>
      </c>
      <c r="H979" s="23">
        <v>50.2</v>
      </c>
      <c r="I979" s="23">
        <v>22.0165782202535</v>
      </c>
    </row>
    <row r="980" spans="1:9" ht="17">
      <c r="A980" s="6" t="s">
        <v>2170</v>
      </c>
      <c r="B980" s="6" t="s">
        <v>1761</v>
      </c>
      <c r="C980" s="6">
        <v>31</v>
      </c>
      <c r="D980" s="6" t="s">
        <v>1792</v>
      </c>
      <c r="E980" s="6" t="s">
        <v>72</v>
      </c>
      <c r="F980" s="21">
        <v>11</v>
      </c>
      <c r="G980" s="23">
        <v>145.5</v>
      </c>
      <c r="H980" s="23">
        <v>38.6</v>
      </c>
      <c r="I980" s="23">
        <v>18.233133760820021</v>
      </c>
    </row>
    <row r="981" spans="1:9" ht="17">
      <c r="A981" s="6" t="s">
        <v>2171</v>
      </c>
      <c r="B981" s="6" t="s">
        <v>1761</v>
      </c>
      <c r="C981" s="6">
        <v>32</v>
      </c>
      <c r="D981" s="6" t="s">
        <v>1793</v>
      </c>
      <c r="E981" s="6" t="s">
        <v>69</v>
      </c>
      <c r="F981" s="21">
        <v>11</v>
      </c>
      <c r="G981" s="23">
        <v>141</v>
      </c>
      <c r="H981" s="23">
        <v>28.5</v>
      </c>
      <c r="I981" s="23">
        <v>14.335295005281425</v>
      </c>
    </row>
    <row r="982" spans="1:9" ht="17">
      <c r="A982" s="6" t="s">
        <v>2172</v>
      </c>
      <c r="B982" s="6" t="s">
        <v>1794</v>
      </c>
      <c r="C982" s="6">
        <v>1</v>
      </c>
      <c r="D982" s="6" t="s">
        <v>1795</v>
      </c>
      <c r="E982" s="6" t="s">
        <v>69</v>
      </c>
      <c r="F982" s="21">
        <v>10</v>
      </c>
      <c r="G982" s="23">
        <v>147</v>
      </c>
      <c r="H982" s="23">
        <v>37.6</v>
      </c>
      <c r="I982" s="23">
        <v>17.400157341848306</v>
      </c>
    </row>
    <row r="983" spans="1:9" ht="17">
      <c r="A983" s="6" t="s">
        <v>2173</v>
      </c>
      <c r="B983" s="6" t="s">
        <v>1794</v>
      </c>
      <c r="C983" s="6">
        <v>2</v>
      </c>
      <c r="D983" s="6" t="s">
        <v>1796</v>
      </c>
      <c r="E983" s="6" t="s">
        <v>69</v>
      </c>
      <c r="F983" s="21">
        <v>11</v>
      </c>
      <c r="G983" s="23">
        <v>140.5</v>
      </c>
      <c r="H983" s="23">
        <v>36.799999999999997</v>
      </c>
      <c r="I983" s="23">
        <v>18.642114461569633</v>
      </c>
    </row>
    <row r="984" spans="1:9" ht="17">
      <c r="A984" s="6" t="s">
        <v>2174</v>
      </c>
      <c r="B984" s="6" t="s">
        <v>1794</v>
      </c>
      <c r="C984" s="6">
        <v>3</v>
      </c>
      <c r="D984" s="6" t="s">
        <v>1797</v>
      </c>
      <c r="E984" s="6" t="s">
        <v>69</v>
      </c>
      <c r="F984" s="21">
        <v>10</v>
      </c>
      <c r="G984" s="23">
        <v>134.5</v>
      </c>
      <c r="H984" s="23">
        <v>26.8</v>
      </c>
      <c r="I984" s="23">
        <v>14.814610080015477</v>
      </c>
    </row>
    <row r="985" spans="1:9" ht="17">
      <c r="A985" s="6" t="s">
        <v>2175</v>
      </c>
      <c r="B985" s="6" t="s">
        <v>1794</v>
      </c>
      <c r="C985" s="6">
        <v>4</v>
      </c>
      <c r="D985" s="6" t="s">
        <v>1798</v>
      </c>
      <c r="E985" s="6" t="s">
        <v>69</v>
      </c>
      <c r="F985" s="21">
        <v>11</v>
      </c>
      <c r="G985" s="23">
        <v>147.5</v>
      </c>
      <c r="H985" s="23">
        <v>33.5</v>
      </c>
      <c r="I985" s="23">
        <v>15.397874174087905</v>
      </c>
    </row>
    <row r="986" spans="1:9" ht="17">
      <c r="A986" s="6" t="s">
        <v>2176</v>
      </c>
      <c r="B986" s="6" t="s">
        <v>1794</v>
      </c>
      <c r="C986" s="6">
        <v>5</v>
      </c>
      <c r="D986" s="6" t="s">
        <v>1799</v>
      </c>
      <c r="E986" s="6" t="s">
        <v>72</v>
      </c>
      <c r="F986" s="21">
        <v>11</v>
      </c>
      <c r="G986" s="23">
        <v>149</v>
      </c>
      <c r="H986" s="23">
        <v>35.9</v>
      </c>
      <c r="I986" s="23">
        <v>16.17044277284807</v>
      </c>
    </row>
    <row r="987" spans="1:9" ht="17">
      <c r="A987" s="6" t="s">
        <v>2177</v>
      </c>
      <c r="B987" s="6" t="s">
        <v>1794</v>
      </c>
      <c r="C987" s="6">
        <v>6</v>
      </c>
      <c r="D987" s="6" t="s">
        <v>1800</v>
      </c>
      <c r="E987" s="6" t="s">
        <v>69</v>
      </c>
      <c r="F987" s="21">
        <v>11</v>
      </c>
      <c r="G987" s="23">
        <v>139</v>
      </c>
      <c r="H987" s="23">
        <v>26.7</v>
      </c>
      <c r="I987" s="23">
        <v>13.819160498938979</v>
      </c>
    </row>
    <row r="988" spans="1:9" ht="17">
      <c r="A988" s="6" t="s">
        <v>2178</v>
      </c>
      <c r="B988" s="6" t="s">
        <v>1794</v>
      </c>
      <c r="C988" s="6">
        <v>7</v>
      </c>
      <c r="D988" s="6" t="s">
        <v>1801</v>
      </c>
      <c r="E988" s="6" t="s">
        <v>72</v>
      </c>
      <c r="F988" s="21">
        <v>11</v>
      </c>
      <c r="G988" s="23">
        <v>154</v>
      </c>
      <c r="H988" s="23">
        <v>46</v>
      </c>
      <c r="I988" s="23">
        <v>19.396188227357058</v>
      </c>
    </row>
    <row r="989" spans="1:9" ht="17">
      <c r="A989" s="6" t="s">
        <v>2179</v>
      </c>
      <c r="B989" s="6" t="s">
        <v>1794</v>
      </c>
      <c r="C989" s="6">
        <v>8</v>
      </c>
      <c r="D989" s="6" t="s">
        <v>1802</v>
      </c>
      <c r="E989" s="6" t="s">
        <v>69</v>
      </c>
      <c r="F989" s="21">
        <v>11</v>
      </c>
      <c r="G989" s="23">
        <v>150</v>
      </c>
      <c r="H989" s="23">
        <v>43</v>
      </c>
      <c r="I989" s="23">
        <v>19.111111111111111</v>
      </c>
    </row>
    <row r="990" spans="1:9" ht="17">
      <c r="A990" s="6" t="s">
        <v>2180</v>
      </c>
      <c r="B990" s="6" t="s">
        <v>1794</v>
      </c>
      <c r="C990" s="6">
        <v>9</v>
      </c>
      <c r="D990" s="6" t="s">
        <v>1803</v>
      </c>
      <c r="E990" s="6" t="s">
        <v>69</v>
      </c>
      <c r="F990" s="21">
        <v>11</v>
      </c>
      <c r="G990" s="23">
        <v>160</v>
      </c>
      <c r="H990" s="23">
        <v>52.8</v>
      </c>
      <c r="I990" s="23">
        <v>20.625</v>
      </c>
    </row>
    <row r="991" spans="1:9" ht="17">
      <c r="A991" s="6" t="s">
        <v>2181</v>
      </c>
      <c r="B991" s="6" t="s">
        <v>1794</v>
      </c>
      <c r="C991" s="6">
        <v>10</v>
      </c>
      <c r="D991" s="6" t="s">
        <v>1804</v>
      </c>
      <c r="E991" s="6" t="s">
        <v>69</v>
      </c>
      <c r="F991" s="21">
        <v>11</v>
      </c>
      <c r="G991" s="23">
        <v>150.5</v>
      </c>
      <c r="H991" s="23">
        <v>33.1</v>
      </c>
      <c r="I991" s="23">
        <v>14.61352523702829</v>
      </c>
    </row>
    <row r="992" spans="1:9" ht="17">
      <c r="A992" s="6" t="s">
        <v>2182</v>
      </c>
      <c r="B992" s="6" t="s">
        <v>1794</v>
      </c>
      <c r="C992" s="6">
        <v>11</v>
      </c>
      <c r="D992" s="6" t="s">
        <v>1805</v>
      </c>
      <c r="E992" s="6" t="s">
        <v>69</v>
      </c>
      <c r="F992" s="21">
        <v>10</v>
      </c>
      <c r="G992" s="23">
        <v>150.5</v>
      </c>
      <c r="H992" s="23">
        <v>39</v>
      </c>
      <c r="I992" s="23">
        <v>17.218352998311275</v>
      </c>
    </row>
    <row r="993" spans="1:9" ht="17">
      <c r="A993" s="6" t="s">
        <v>2183</v>
      </c>
      <c r="B993" s="6" t="s">
        <v>1794</v>
      </c>
      <c r="C993" s="6">
        <v>12</v>
      </c>
      <c r="D993" s="6" t="s">
        <v>1806</v>
      </c>
      <c r="E993" s="6" t="s">
        <v>72</v>
      </c>
      <c r="F993" s="21">
        <v>10</v>
      </c>
      <c r="G993" s="23">
        <v>139</v>
      </c>
      <c r="H993" s="23">
        <v>35.200000000000003</v>
      </c>
      <c r="I993" s="23">
        <v>18.21851871021169</v>
      </c>
    </row>
    <row r="994" spans="1:9" ht="17">
      <c r="A994" s="6" t="s">
        <v>2184</v>
      </c>
      <c r="B994" s="6" t="s">
        <v>1794</v>
      </c>
      <c r="C994" s="6">
        <v>13</v>
      </c>
      <c r="D994" s="6" t="s">
        <v>1807</v>
      </c>
      <c r="E994" s="6" t="s">
        <v>72</v>
      </c>
      <c r="F994" s="21">
        <v>11</v>
      </c>
      <c r="G994" s="23">
        <v>143</v>
      </c>
      <c r="H994" s="23">
        <v>35.700000000000003</v>
      </c>
      <c r="I994" s="23">
        <v>17.458066409115361</v>
      </c>
    </row>
    <row r="995" spans="1:9" ht="17">
      <c r="A995" s="6" t="s">
        <v>2185</v>
      </c>
      <c r="B995" s="6" t="s">
        <v>1794</v>
      </c>
      <c r="C995" s="6">
        <v>14</v>
      </c>
      <c r="D995" s="6" t="s">
        <v>1808</v>
      </c>
      <c r="E995" s="6" t="s">
        <v>72</v>
      </c>
      <c r="F995" s="21">
        <v>11</v>
      </c>
      <c r="G995" s="23">
        <v>152</v>
      </c>
      <c r="H995" s="23">
        <v>51</v>
      </c>
      <c r="I995" s="23">
        <v>22.07409972299169</v>
      </c>
    </row>
    <row r="996" spans="1:9" ht="17">
      <c r="A996" s="6" t="s">
        <v>2186</v>
      </c>
      <c r="B996" s="6" t="s">
        <v>1794</v>
      </c>
      <c r="C996" s="6">
        <v>15</v>
      </c>
      <c r="D996" s="6" t="s">
        <v>1809</v>
      </c>
      <c r="E996" s="6" t="s">
        <v>69</v>
      </c>
      <c r="F996" s="21">
        <v>10</v>
      </c>
      <c r="G996" s="23">
        <v>163</v>
      </c>
      <c r="H996" s="23">
        <v>55</v>
      </c>
      <c r="I996" s="23">
        <v>20.700816741315069</v>
      </c>
    </row>
    <row r="997" spans="1:9" ht="17">
      <c r="A997" s="6" t="s">
        <v>2187</v>
      </c>
      <c r="B997" s="6" t="s">
        <v>1794</v>
      </c>
      <c r="C997" s="6">
        <v>16</v>
      </c>
      <c r="D997" s="6" t="s">
        <v>1810</v>
      </c>
      <c r="E997" s="6" t="s">
        <v>72</v>
      </c>
      <c r="F997" s="21">
        <v>11</v>
      </c>
      <c r="G997" s="23">
        <v>151</v>
      </c>
      <c r="H997" s="23">
        <v>39</v>
      </c>
      <c r="I997" s="23">
        <v>17.104512959957898</v>
      </c>
    </row>
    <row r="998" spans="1:9" ht="17">
      <c r="A998" s="6" t="s">
        <v>2188</v>
      </c>
      <c r="B998" s="6" t="s">
        <v>1794</v>
      </c>
      <c r="C998" s="6">
        <v>17</v>
      </c>
      <c r="D998" s="6" t="s">
        <v>1811</v>
      </c>
      <c r="E998" s="6" t="s">
        <v>72</v>
      </c>
      <c r="F998" s="21">
        <v>10</v>
      </c>
      <c r="G998" s="23">
        <v>157</v>
      </c>
      <c r="H998" s="23">
        <v>59.9</v>
      </c>
      <c r="I998" s="23">
        <v>24.301188689196316</v>
      </c>
    </row>
    <row r="999" spans="1:9" ht="17">
      <c r="A999" s="6" t="s">
        <v>2189</v>
      </c>
      <c r="B999" s="6" t="s">
        <v>1794</v>
      </c>
      <c r="C999" s="6">
        <v>18</v>
      </c>
      <c r="D999" s="6" t="s">
        <v>1812</v>
      </c>
      <c r="E999" s="6" t="s">
        <v>72</v>
      </c>
      <c r="F999" s="21">
        <v>10</v>
      </c>
      <c r="G999" s="23">
        <v>131.5</v>
      </c>
      <c r="H999" s="23">
        <v>26.4</v>
      </c>
      <c r="I999" s="23">
        <v>15.266954849715912</v>
      </c>
    </row>
    <row r="1000" spans="1:9" ht="17">
      <c r="A1000" s="6" t="s">
        <v>2190</v>
      </c>
      <c r="B1000" s="6" t="s">
        <v>1794</v>
      </c>
      <c r="C1000" s="6">
        <v>19</v>
      </c>
      <c r="D1000" s="6" t="s">
        <v>1813</v>
      </c>
      <c r="E1000" s="6" t="s">
        <v>69</v>
      </c>
      <c r="F1000" s="21">
        <v>11</v>
      </c>
      <c r="G1000" s="23">
        <v>145</v>
      </c>
      <c r="H1000" s="23">
        <v>39.9</v>
      </c>
      <c r="I1000" s="23">
        <v>18.977407847800237</v>
      </c>
    </row>
    <row r="1001" spans="1:9" ht="17">
      <c r="A1001" s="6" t="s">
        <v>2191</v>
      </c>
      <c r="B1001" s="6" t="s">
        <v>1794</v>
      </c>
      <c r="C1001" s="6">
        <v>20</v>
      </c>
      <c r="D1001" s="6" t="s">
        <v>1814</v>
      </c>
      <c r="E1001" s="6" t="s">
        <v>69</v>
      </c>
      <c r="F1001" s="21">
        <v>11</v>
      </c>
      <c r="G1001" s="23">
        <v>137</v>
      </c>
      <c r="H1001" s="23">
        <v>32</v>
      </c>
      <c r="I1001" s="23">
        <v>17.049389951515796</v>
      </c>
    </row>
    <row r="1002" spans="1:9" ht="17">
      <c r="A1002" s="6" t="s">
        <v>2192</v>
      </c>
      <c r="B1002" s="6" t="s">
        <v>1794</v>
      </c>
      <c r="C1002" s="6">
        <v>21</v>
      </c>
      <c r="D1002" s="6" t="s">
        <v>1815</v>
      </c>
      <c r="E1002" s="6" t="s">
        <v>72</v>
      </c>
      <c r="F1002" s="21">
        <v>10</v>
      </c>
      <c r="G1002" s="23">
        <v>140</v>
      </c>
      <c r="H1002" s="23">
        <v>39</v>
      </c>
      <c r="I1002" s="23">
        <v>19.897959183673471</v>
      </c>
    </row>
    <row r="1003" spans="1:9" ht="17">
      <c r="A1003" s="6" t="s">
        <v>2193</v>
      </c>
      <c r="B1003" s="6" t="s">
        <v>1794</v>
      </c>
      <c r="C1003" s="6">
        <v>22</v>
      </c>
      <c r="D1003" s="6" t="s">
        <v>1816</v>
      </c>
      <c r="E1003" s="6" t="s">
        <v>69</v>
      </c>
      <c r="F1003" s="21">
        <v>11</v>
      </c>
      <c r="G1003" s="23">
        <v>157</v>
      </c>
      <c r="H1003" s="23">
        <v>48</v>
      </c>
      <c r="I1003" s="23">
        <v>19.473406629072173</v>
      </c>
    </row>
    <row r="1004" spans="1:9" ht="17">
      <c r="A1004" s="6" t="s">
        <v>2194</v>
      </c>
      <c r="B1004" s="6" t="s">
        <v>1794</v>
      </c>
      <c r="C1004" s="6">
        <v>23</v>
      </c>
      <c r="D1004" s="6" t="s">
        <v>1817</v>
      </c>
      <c r="E1004" s="6" t="s">
        <v>69</v>
      </c>
      <c r="F1004" s="21">
        <v>11</v>
      </c>
      <c r="G1004" s="23">
        <v>151.5</v>
      </c>
      <c r="H1004" s="23">
        <v>50</v>
      </c>
      <c r="I1004" s="23">
        <v>21.784356653487134</v>
      </c>
    </row>
    <row r="1005" spans="1:9" ht="17">
      <c r="A1005" s="6" t="s">
        <v>2195</v>
      </c>
      <c r="B1005" s="6" t="s">
        <v>1794</v>
      </c>
      <c r="C1005" s="6">
        <v>24</v>
      </c>
      <c r="D1005" s="6" t="s">
        <v>1818</v>
      </c>
      <c r="E1005" s="6" t="s">
        <v>69</v>
      </c>
      <c r="F1005" s="21">
        <v>11</v>
      </c>
      <c r="G1005" s="23">
        <v>148.5</v>
      </c>
      <c r="H1005" s="23">
        <v>47.9</v>
      </c>
      <c r="I1005" s="23">
        <v>21.72113956625741</v>
      </c>
    </row>
    <row r="1006" spans="1:9" ht="17">
      <c r="A1006" s="6" t="s">
        <v>2196</v>
      </c>
      <c r="B1006" s="6" t="s">
        <v>1794</v>
      </c>
      <c r="C1006" s="6">
        <v>25</v>
      </c>
      <c r="D1006" s="6" t="s">
        <v>1819</v>
      </c>
      <c r="E1006" s="6" t="s">
        <v>72</v>
      </c>
      <c r="F1006" s="21">
        <v>11</v>
      </c>
      <c r="G1006" s="23">
        <v>146.5</v>
      </c>
      <c r="H1006" s="23">
        <v>32.6</v>
      </c>
      <c r="I1006" s="23">
        <v>15.189460564479495</v>
      </c>
    </row>
    <row r="1007" spans="1:9" ht="17">
      <c r="A1007" s="6" t="s">
        <v>2197</v>
      </c>
      <c r="B1007" s="6" t="s">
        <v>1794</v>
      </c>
      <c r="C1007" s="6">
        <v>26</v>
      </c>
      <c r="D1007" s="6" t="s">
        <v>1820</v>
      </c>
      <c r="E1007" s="6" t="s">
        <v>72</v>
      </c>
      <c r="F1007" s="21">
        <v>11</v>
      </c>
      <c r="G1007" s="23">
        <v>135</v>
      </c>
      <c r="H1007" s="23">
        <v>28.6</v>
      </c>
      <c r="I1007" s="23">
        <v>15.692729766803842</v>
      </c>
    </row>
    <row r="1008" spans="1:9" ht="17">
      <c r="A1008" s="6" t="s">
        <v>2198</v>
      </c>
      <c r="B1008" s="6" t="s">
        <v>1794</v>
      </c>
      <c r="C1008" s="6">
        <v>27</v>
      </c>
      <c r="D1008" s="6" t="s">
        <v>1821</v>
      </c>
      <c r="E1008" s="6" t="s">
        <v>69</v>
      </c>
      <c r="F1008" s="21">
        <v>11</v>
      </c>
      <c r="G1008" s="23">
        <v>154.5</v>
      </c>
      <c r="H1008" s="23">
        <v>62.1</v>
      </c>
      <c r="I1008" s="23">
        <v>26.015647092091623</v>
      </c>
    </row>
    <row r="1009" spans="1:9" ht="17">
      <c r="A1009" s="6" t="s">
        <v>2199</v>
      </c>
      <c r="B1009" s="6" t="s">
        <v>1794</v>
      </c>
      <c r="C1009" s="6">
        <v>28</v>
      </c>
      <c r="D1009" s="6" t="s">
        <v>1822</v>
      </c>
      <c r="E1009" s="6" t="s">
        <v>72</v>
      </c>
      <c r="F1009" s="21">
        <v>11</v>
      </c>
      <c r="G1009" s="23">
        <v>138</v>
      </c>
      <c r="H1009" s="23">
        <v>29</v>
      </c>
      <c r="I1009" s="23">
        <v>15.227893299726947</v>
      </c>
    </row>
    <row r="1010" spans="1:9" ht="17">
      <c r="A1010" s="6" t="s">
        <v>2200</v>
      </c>
      <c r="B1010" s="6" t="s">
        <v>1794</v>
      </c>
      <c r="C1010" s="6">
        <v>29</v>
      </c>
      <c r="D1010" s="6" t="s">
        <v>1823</v>
      </c>
      <c r="E1010" s="6" t="s">
        <v>69</v>
      </c>
      <c r="F1010" s="21">
        <v>10</v>
      </c>
      <c r="G1010" s="23">
        <v>151.5</v>
      </c>
      <c r="H1010" s="23">
        <v>44.7</v>
      </c>
      <c r="I1010" s="23">
        <v>19.475214848217497</v>
      </c>
    </row>
    <row r="1011" spans="1:9" ht="17">
      <c r="A1011" s="6" t="s">
        <v>2201</v>
      </c>
      <c r="B1011" s="6" t="s">
        <v>1794</v>
      </c>
      <c r="C1011" s="6">
        <v>30</v>
      </c>
      <c r="D1011" s="6" t="s">
        <v>1824</v>
      </c>
      <c r="E1011" s="6" t="s">
        <v>69</v>
      </c>
      <c r="F1011" s="21">
        <v>11</v>
      </c>
      <c r="G1011" s="23">
        <v>143</v>
      </c>
      <c r="H1011" s="23">
        <v>45.1</v>
      </c>
      <c r="I1011" s="23">
        <v>22.05486820871436</v>
      </c>
    </row>
    <row r="1012" spans="1:9" ht="17">
      <c r="A1012" s="6" t="s">
        <v>2202</v>
      </c>
      <c r="B1012" s="6" t="s">
        <v>1794</v>
      </c>
      <c r="C1012" s="6">
        <v>31</v>
      </c>
      <c r="D1012" s="6" t="s">
        <v>1825</v>
      </c>
      <c r="E1012" s="6" t="s">
        <v>72</v>
      </c>
      <c r="F1012" s="21">
        <v>12</v>
      </c>
      <c r="G1012" s="23">
        <v>144.5</v>
      </c>
      <c r="H1012" s="23">
        <v>33.700000000000003</v>
      </c>
      <c r="I1012" s="23">
        <v>16.139653500317287</v>
      </c>
    </row>
    <row r="1013" spans="1:9" ht="17">
      <c r="A1013" s="6" t="s">
        <v>2203</v>
      </c>
      <c r="B1013" s="6" t="s">
        <v>1794</v>
      </c>
      <c r="C1013" s="6">
        <v>32</v>
      </c>
      <c r="D1013" s="6" t="s">
        <v>1826</v>
      </c>
      <c r="E1013" s="6" t="s">
        <v>72</v>
      </c>
      <c r="F1013" s="21">
        <v>11</v>
      </c>
      <c r="G1013" s="23">
        <v>138.5</v>
      </c>
      <c r="H1013" s="23">
        <v>31</v>
      </c>
      <c r="I1013" s="23">
        <v>16.160773631873216</v>
      </c>
    </row>
  </sheetData>
  <phoneticPr fontId="10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28403-18C4-F64A-A1C1-C785C309DA57}">
  <sheetPr>
    <pageSetUpPr fitToPage="1"/>
  </sheetPr>
  <dimension ref="A1:I502"/>
  <sheetViews>
    <sheetView zoomScaleNormal="100" workbookViewId="0">
      <pane ySplit="6" topLeftCell="A7" activePane="bottomLeft" state="frozen"/>
      <selection activeCell="G18" sqref="G18"/>
      <selection pane="bottomLeft" activeCell="G12" sqref="G12"/>
    </sheetView>
  </sheetViews>
  <sheetFormatPr baseColWidth="10" defaultColWidth="10.59765625" defaultRowHeight="15"/>
  <cols>
    <col min="1" max="1" width="17.59765625" style="28" customWidth="1"/>
    <col min="2" max="2" width="12.59765625" style="28" customWidth="1"/>
    <col min="3" max="3" width="13.19921875" style="28" customWidth="1"/>
    <col min="4" max="4" width="19.19921875" style="28" customWidth="1"/>
    <col min="5" max="5" width="18" style="28" bestFit="1" customWidth="1"/>
    <col min="6" max="6" width="22" style="28" bestFit="1" customWidth="1"/>
    <col min="7" max="7" width="29.19921875" style="38" bestFit="1" customWidth="1"/>
    <col min="8" max="8" width="4" style="28" customWidth="1"/>
    <col min="9" max="16384" width="10.59765625" style="28"/>
  </cols>
  <sheetData>
    <row r="1" spans="1:9" ht="39" customHeight="1">
      <c r="A1" s="71" t="s">
        <v>1363</v>
      </c>
      <c r="B1" s="72"/>
      <c r="C1" s="72"/>
      <c r="D1" s="72"/>
      <c r="E1" s="72"/>
      <c r="F1" s="72"/>
      <c r="G1" s="73"/>
    </row>
    <row r="2" spans="1:9" ht="25.5" customHeight="1">
      <c r="A2" s="29" t="s">
        <v>1364</v>
      </c>
      <c r="B2" s="74" t="s">
        <v>1365</v>
      </c>
      <c r="C2" s="75"/>
      <c r="D2" s="30" t="s">
        <v>1366</v>
      </c>
      <c r="E2" s="31" t="s">
        <v>1367</v>
      </c>
      <c r="F2" s="30" t="s">
        <v>1368</v>
      </c>
      <c r="G2" s="32"/>
    </row>
    <row r="3" spans="1:9" ht="25.5" customHeight="1">
      <c r="A3" s="33" t="s">
        <v>1369</v>
      </c>
      <c r="B3" s="76" t="s">
        <v>1370</v>
      </c>
      <c r="C3" s="76"/>
      <c r="D3" s="34" t="s">
        <v>1371</v>
      </c>
      <c r="E3" s="35">
        <v>45922</v>
      </c>
      <c r="F3" s="34" t="s">
        <v>1372</v>
      </c>
      <c r="G3" s="35">
        <v>45930</v>
      </c>
    </row>
    <row r="4" spans="1:9" ht="25.5" customHeight="1">
      <c r="A4" s="77" t="s">
        <v>1373</v>
      </c>
      <c r="B4" s="77"/>
      <c r="C4" s="36">
        <v>718</v>
      </c>
      <c r="D4" s="30" t="s">
        <v>1374</v>
      </c>
      <c r="E4" s="36">
        <v>242</v>
      </c>
      <c r="F4" s="30" t="s">
        <v>1375</v>
      </c>
      <c r="G4" s="30" t="str">
        <f>IFERROR(ROUND(E4/C4*100,2)," ") &amp; "%"</f>
        <v>33.7%</v>
      </c>
      <c r="I4" s="37" t="s">
        <v>1376</v>
      </c>
    </row>
    <row r="5" spans="1:9" ht="25.5" customHeight="1">
      <c r="A5" s="30" t="s">
        <v>1377</v>
      </c>
      <c r="B5" s="77" t="str">
        <f>IFERROR("書包重量達標的學生共 "&amp;  COUNTIFS(E7:E495,"&gt;0",E7:E495,"&lt;=0.15" ) &amp;" 人，佔抽查學生人數百分比 "&amp; ROUND(COUNTIFS(E7:E495,"&gt;0",E7:E495,"&lt;=0.15" ) /E4*100,2) &amp; " %","請輸入書包抽查重量數據")</f>
        <v>書包重量達標的學生共 0 人，佔抽查學生人數百分比 0 %</v>
      </c>
      <c r="C5" s="77"/>
      <c r="D5" s="77"/>
      <c r="E5" s="77"/>
      <c r="F5" s="77"/>
      <c r="G5" s="77"/>
      <c r="I5" s="37" t="s">
        <v>1378</v>
      </c>
    </row>
    <row r="6" spans="1:9" s="38" customFormat="1" ht="34">
      <c r="A6" s="30" t="s">
        <v>1379</v>
      </c>
      <c r="B6" s="30" t="s">
        <v>1380</v>
      </c>
      <c r="C6" s="30" t="s">
        <v>1381</v>
      </c>
      <c r="D6" s="30" t="s">
        <v>1382</v>
      </c>
      <c r="E6" s="30" t="s">
        <v>1383</v>
      </c>
      <c r="F6" s="30" t="s">
        <v>1384</v>
      </c>
      <c r="G6" s="30" t="s">
        <v>1385</v>
      </c>
      <c r="I6" s="37" t="s">
        <v>1386</v>
      </c>
    </row>
    <row r="7" spans="1:9" ht="18.25" customHeight="1">
      <c r="A7" s="39">
        <v>1</v>
      </c>
      <c r="B7" s="40" t="s">
        <v>1387</v>
      </c>
      <c r="C7" s="39" t="str">
        <f>'📱 各班抽查登記表'!E8</f>
        <v/>
      </c>
      <c r="D7" s="39">
        <f>'📱 各班抽查登記表'!F8</f>
        <v>0</v>
      </c>
      <c r="E7" s="41">
        <f>IFERROR(D7/C7,0)</f>
        <v>0</v>
      </c>
      <c r="F7" s="42" t="str">
        <f>IF(E7&lt;=0.15,"","")</f>
        <v></v>
      </c>
      <c r="G7" s="39" t="str">
        <f>'📱 各班抽查登記表'!I8&amp;'📱 各班抽查登記表'!J8</f>
        <v/>
      </c>
      <c r="I7" s="37"/>
    </row>
    <row r="8" spans="1:9" ht="18.25" customHeight="1">
      <c r="A8" s="39">
        <v>2</v>
      </c>
      <c r="B8" s="40" t="s">
        <v>1388</v>
      </c>
      <c r="C8" s="39" t="str">
        <f>'📱 各班抽查登記表'!E9</f>
        <v/>
      </c>
      <c r="D8" s="39">
        <f>'📱 各班抽查登記表'!F9</f>
        <v>0</v>
      </c>
      <c r="E8" s="43">
        <f t="shared" ref="E8:E82" si="0">IFERROR(D8/C8,0)</f>
        <v>0</v>
      </c>
      <c r="F8" s="42" t="str">
        <f t="shared" ref="F8:F82" si="1">IF(E8&lt;=0.15,"","")</f>
        <v></v>
      </c>
      <c r="G8" s="39"/>
    </row>
    <row r="9" spans="1:9" ht="18.25" customHeight="1">
      <c r="A9" s="39">
        <v>3</v>
      </c>
      <c r="B9" s="40" t="s">
        <v>1388</v>
      </c>
      <c r="C9" s="39" t="str">
        <f>'📱 各班抽查登記表'!E10</f>
        <v/>
      </c>
      <c r="D9" s="39">
        <f>'📱 各班抽查登記表'!F10</f>
        <v>0</v>
      </c>
      <c r="E9" s="43">
        <f t="shared" si="0"/>
        <v>0</v>
      </c>
      <c r="F9" s="42" t="str">
        <f t="shared" si="1"/>
        <v></v>
      </c>
      <c r="G9" s="39"/>
      <c r="I9" s="37"/>
    </row>
    <row r="10" spans="1:9" ht="18.25" customHeight="1">
      <c r="A10" s="39">
        <v>4</v>
      </c>
      <c r="B10" s="40" t="s">
        <v>1388</v>
      </c>
      <c r="C10" s="39" t="str">
        <f>'📱 各班抽查登記表'!E11</f>
        <v/>
      </c>
      <c r="D10" s="39">
        <f>'📱 各班抽查登記表'!F11</f>
        <v>0</v>
      </c>
      <c r="E10" s="43">
        <f t="shared" si="0"/>
        <v>0</v>
      </c>
      <c r="F10" s="42" t="str">
        <f t="shared" si="1"/>
        <v></v>
      </c>
      <c r="G10" s="39"/>
      <c r="I10" s="44"/>
    </row>
    <row r="11" spans="1:9" ht="18.25" customHeight="1">
      <c r="A11" s="39">
        <v>5</v>
      </c>
      <c r="B11" s="40" t="s">
        <v>1388</v>
      </c>
      <c r="C11" s="39" t="str">
        <f>'📱 各班抽查登記表'!E12</f>
        <v/>
      </c>
      <c r="D11" s="39">
        <f>'📱 各班抽查登記表'!F12</f>
        <v>0</v>
      </c>
      <c r="E11" s="43">
        <f t="shared" si="0"/>
        <v>0</v>
      </c>
      <c r="F11" s="42" t="str">
        <f t="shared" si="1"/>
        <v></v>
      </c>
      <c r="G11" s="39"/>
      <c r="I11" s="44"/>
    </row>
    <row r="12" spans="1:9" ht="18.25" customHeight="1">
      <c r="A12" s="39">
        <v>6</v>
      </c>
      <c r="B12" s="40" t="s">
        <v>1388</v>
      </c>
      <c r="C12" s="39" t="str">
        <f>'📱 各班抽查登記表'!E13</f>
        <v/>
      </c>
      <c r="D12" s="39">
        <f>'📱 各班抽查登記表'!F13</f>
        <v>0</v>
      </c>
      <c r="E12" s="43">
        <f t="shared" si="0"/>
        <v>0</v>
      </c>
      <c r="F12" s="42" t="str">
        <f t="shared" si="1"/>
        <v></v>
      </c>
      <c r="G12" s="39"/>
      <c r="I12" s="44"/>
    </row>
    <row r="13" spans="1:9" ht="18.25" customHeight="1">
      <c r="A13" s="39">
        <v>7</v>
      </c>
      <c r="B13" s="40" t="s">
        <v>1388</v>
      </c>
      <c r="C13" s="39" t="str">
        <f>'📱 各班抽查登記表'!E14</f>
        <v/>
      </c>
      <c r="D13" s="39">
        <f>'📱 各班抽查登記表'!F14</f>
        <v>0</v>
      </c>
      <c r="E13" s="43">
        <f t="shared" si="0"/>
        <v>0</v>
      </c>
      <c r="F13" s="42" t="str">
        <f t="shared" si="1"/>
        <v></v>
      </c>
      <c r="G13" s="39"/>
      <c r="I13" s="44"/>
    </row>
    <row r="14" spans="1:9" ht="18.25" customHeight="1">
      <c r="A14" s="39">
        <v>8</v>
      </c>
      <c r="B14" s="40" t="s">
        <v>1388</v>
      </c>
      <c r="C14" s="39" t="str">
        <f>'📱 各班抽查登記表'!E15</f>
        <v/>
      </c>
      <c r="D14" s="39">
        <f>'📱 各班抽查登記表'!F15</f>
        <v>0</v>
      </c>
      <c r="E14" s="43">
        <f t="shared" si="0"/>
        <v>0</v>
      </c>
      <c r="F14" s="42" t="str">
        <f t="shared" si="1"/>
        <v></v>
      </c>
      <c r="G14" s="39"/>
      <c r="I14" s="44"/>
    </row>
    <row r="15" spans="1:9" ht="18.25" customHeight="1">
      <c r="A15" s="39">
        <v>9</v>
      </c>
      <c r="B15" s="40" t="s">
        <v>1388</v>
      </c>
      <c r="C15" s="39" t="str">
        <f>'📱 各班抽查登記表'!E16</f>
        <v/>
      </c>
      <c r="D15" s="39">
        <f>'📱 各班抽查登記表'!F16</f>
        <v>0</v>
      </c>
      <c r="E15" s="43">
        <f t="shared" si="0"/>
        <v>0</v>
      </c>
      <c r="F15" s="42" t="str">
        <f t="shared" si="1"/>
        <v></v>
      </c>
      <c r="G15" s="39"/>
      <c r="I15" s="44"/>
    </row>
    <row r="16" spans="1:9" ht="18.25" customHeight="1">
      <c r="A16" s="39">
        <v>10</v>
      </c>
      <c r="B16" s="40" t="s">
        <v>1388</v>
      </c>
      <c r="C16" s="39" t="str">
        <f>'📱 各班抽查登記表'!E17</f>
        <v/>
      </c>
      <c r="D16" s="39">
        <f>'📱 各班抽查登記表'!F17</f>
        <v>0</v>
      </c>
      <c r="E16" s="43">
        <f t="shared" si="0"/>
        <v>0</v>
      </c>
      <c r="F16" s="42" t="str">
        <f t="shared" si="1"/>
        <v></v>
      </c>
      <c r="G16" s="39"/>
      <c r="I16" s="44"/>
    </row>
    <row r="17" spans="1:9" ht="18.25" customHeight="1">
      <c r="A17" s="39">
        <v>11</v>
      </c>
      <c r="B17" s="40" t="s">
        <v>1388</v>
      </c>
      <c r="C17" s="39" t="str">
        <f>'📱 各班抽查登記表'!E18</f>
        <v/>
      </c>
      <c r="D17" s="39">
        <f>'📱 各班抽查登記表'!F18</f>
        <v>0</v>
      </c>
      <c r="E17" s="43">
        <f t="shared" si="0"/>
        <v>0</v>
      </c>
      <c r="F17" s="42" t="str">
        <f t="shared" si="1"/>
        <v></v>
      </c>
      <c r="G17" s="39"/>
      <c r="I17" s="44"/>
    </row>
    <row r="18" spans="1:9" ht="18.25" customHeight="1">
      <c r="A18" s="39">
        <v>12</v>
      </c>
      <c r="B18" s="40" t="s">
        <v>1388</v>
      </c>
      <c r="C18" s="39" t="str">
        <f>'📱 各班抽查登記表'!E19</f>
        <v/>
      </c>
      <c r="D18" s="39">
        <f>'📱 各班抽查登記表'!F19</f>
        <v>0</v>
      </c>
      <c r="E18" s="43">
        <f t="shared" si="0"/>
        <v>0</v>
      </c>
      <c r="F18" s="42" t="str">
        <f t="shared" si="1"/>
        <v></v>
      </c>
      <c r="G18" s="39"/>
      <c r="I18" s="44"/>
    </row>
    <row r="19" spans="1:9" ht="18.25" customHeight="1">
      <c r="A19" s="39">
        <v>13</v>
      </c>
      <c r="B19" s="40" t="s">
        <v>1388</v>
      </c>
      <c r="C19" s="39" t="str">
        <f>'📱 各班抽查登記表'!E20</f>
        <v/>
      </c>
      <c r="D19" s="39">
        <f>'📱 各班抽查登記表'!F20</f>
        <v>0</v>
      </c>
      <c r="E19" s="43">
        <f t="shared" si="0"/>
        <v>0</v>
      </c>
      <c r="F19" s="42" t="str">
        <f t="shared" si="1"/>
        <v></v>
      </c>
      <c r="G19" s="39"/>
      <c r="I19" s="44"/>
    </row>
    <row r="20" spans="1:9" ht="18.25" customHeight="1">
      <c r="A20" s="39">
        <v>14</v>
      </c>
      <c r="B20" s="40" t="s">
        <v>1388</v>
      </c>
      <c r="C20" s="39" t="str">
        <f>'📱 各班抽查登記表'!E21</f>
        <v/>
      </c>
      <c r="D20" s="39">
        <f>'📱 各班抽查登記表'!F21</f>
        <v>0</v>
      </c>
      <c r="E20" s="43">
        <f t="shared" si="0"/>
        <v>0</v>
      </c>
      <c r="F20" s="42" t="str">
        <f t="shared" si="1"/>
        <v></v>
      </c>
      <c r="G20" s="39"/>
      <c r="I20" s="44"/>
    </row>
    <row r="21" spans="1:9" ht="18.25" customHeight="1">
      <c r="A21" s="39">
        <v>15</v>
      </c>
      <c r="B21" s="40" t="s">
        <v>1388</v>
      </c>
      <c r="C21" s="39" t="str">
        <f>'📱 各班抽查登記表'!E22</f>
        <v/>
      </c>
      <c r="D21" s="39">
        <f>'📱 各班抽查登記表'!F22</f>
        <v>0</v>
      </c>
      <c r="E21" s="43">
        <f t="shared" si="0"/>
        <v>0</v>
      </c>
      <c r="F21" s="42" t="str">
        <f t="shared" si="1"/>
        <v></v>
      </c>
      <c r="G21" s="39"/>
      <c r="I21" s="44"/>
    </row>
    <row r="22" spans="1:9" ht="18.25" customHeight="1">
      <c r="A22" s="39">
        <v>16</v>
      </c>
      <c r="B22" s="40" t="s">
        <v>1388</v>
      </c>
      <c r="C22" s="39" t="str">
        <f>'📱 各班抽查登記表'!E23</f>
        <v/>
      </c>
      <c r="D22" s="39">
        <f>'📱 各班抽查登記表'!F23</f>
        <v>0</v>
      </c>
      <c r="E22" s="43">
        <f t="shared" si="0"/>
        <v>0</v>
      </c>
      <c r="F22" s="42" t="str">
        <f t="shared" si="1"/>
        <v></v>
      </c>
      <c r="G22" s="39"/>
      <c r="I22" s="44"/>
    </row>
    <row r="23" spans="1:9" ht="18.25" customHeight="1">
      <c r="A23" s="39">
        <v>17</v>
      </c>
      <c r="B23" s="40" t="s">
        <v>1388</v>
      </c>
      <c r="C23" s="39" t="str">
        <f>'📱 各班抽查登記表'!E24</f>
        <v/>
      </c>
      <c r="D23" s="39">
        <f>'📱 各班抽查登記表'!F24</f>
        <v>0</v>
      </c>
      <c r="E23" s="43">
        <f t="shared" si="0"/>
        <v>0</v>
      </c>
      <c r="F23" s="42" t="str">
        <f t="shared" si="1"/>
        <v></v>
      </c>
      <c r="G23" s="39"/>
      <c r="I23" s="44"/>
    </row>
    <row r="24" spans="1:9" ht="18.25" customHeight="1">
      <c r="A24" s="39">
        <v>18</v>
      </c>
      <c r="B24" s="40" t="s">
        <v>1388</v>
      </c>
      <c r="C24" s="39" t="str">
        <f>'📱 各班抽查登記表'!E25</f>
        <v/>
      </c>
      <c r="D24" s="39">
        <f>'📱 各班抽查登記表'!F25</f>
        <v>0</v>
      </c>
      <c r="E24" s="43">
        <f t="shared" si="0"/>
        <v>0</v>
      </c>
      <c r="F24" s="42" t="str">
        <f t="shared" si="1"/>
        <v></v>
      </c>
      <c r="G24" s="39"/>
      <c r="I24" s="44"/>
    </row>
    <row r="25" spans="1:9" ht="18.25" customHeight="1">
      <c r="A25" s="39">
        <v>19</v>
      </c>
      <c r="B25" s="40" t="s">
        <v>1388</v>
      </c>
      <c r="C25" s="39" t="str">
        <f>'📱 各班抽查登記表'!E26</f>
        <v/>
      </c>
      <c r="D25" s="39">
        <f>'📱 各班抽查登記表'!F26</f>
        <v>0</v>
      </c>
      <c r="E25" s="43">
        <f t="shared" si="0"/>
        <v>0</v>
      </c>
      <c r="F25" s="42" t="str">
        <f t="shared" si="1"/>
        <v></v>
      </c>
      <c r="G25" s="39"/>
      <c r="I25" s="44"/>
    </row>
    <row r="26" spans="1:9" ht="18.25" customHeight="1">
      <c r="A26" s="39">
        <v>20</v>
      </c>
      <c r="B26" s="40" t="s">
        <v>1388</v>
      </c>
      <c r="C26" s="39" t="str">
        <f>'📱 各班抽查登記表'!E27</f>
        <v/>
      </c>
      <c r="D26" s="39">
        <f>'📱 各班抽查登記表'!F27</f>
        <v>0</v>
      </c>
      <c r="E26" s="43">
        <f t="shared" si="0"/>
        <v>0</v>
      </c>
      <c r="F26" s="42" t="str">
        <f t="shared" si="1"/>
        <v></v>
      </c>
      <c r="G26" s="39"/>
      <c r="I26" s="44"/>
    </row>
    <row r="27" spans="1:9" ht="18.25" customHeight="1">
      <c r="A27" s="39">
        <v>21</v>
      </c>
      <c r="B27" s="40" t="s">
        <v>1388</v>
      </c>
      <c r="C27" s="39" t="str">
        <f>'📱 各班抽查登記表'!E28</f>
        <v/>
      </c>
      <c r="D27" s="39">
        <f>'📱 各班抽查登記表'!F28</f>
        <v>0</v>
      </c>
      <c r="E27" s="43">
        <f t="shared" si="0"/>
        <v>0</v>
      </c>
      <c r="F27" s="42" t="str">
        <f t="shared" si="1"/>
        <v></v>
      </c>
      <c r="G27" s="39"/>
      <c r="I27" s="44"/>
    </row>
    <row r="28" spans="1:9" ht="18.25" customHeight="1">
      <c r="A28" s="39">
        <v>22</v>
      </c>
      <c r="B28" s="40" t="s">
        <v>1388</v>
      </c>
      <c r="C28" s="39" t="str">
        <f>'📱 各班抽查登記表'!E29</f>
        <v/>
      </c>
      <c r="D28" s="39">
        <f>'📱 各班抽查登記表'!F29</f>
        <v>0</v>
      </c>
      <c r="E28" s="43">
        <f t="shared" si="0"/>
        <v>0</v>
      </c>
      <c r="F28" s="42" t="str">
        <f t="shared" si="1"/>
        <v></v>
      </c>
      <c r="G28" s="39"/>
      <c r="I28" s="44"/>
    </row>
    <row r="29" spans="1:9" ht="18.25" customHeight="1">
      <c r="A29" s="39">
        <v>23</v>
      </c>
      <c r="B29" s="40" t="s">
        <v>1388</v>
      </c>
      <c r="C29" s="39" t="str">
        <f>'📱 各班抽查登記表'!E30</f>
        <v/>
      </c>
      <c r="D29" s="39">
        <f>'📱 各班抽查登記表'!F30</f>
        <v>0</v>
      </c>
      <c r="E29" s="43">
        <f t="shared" si="0"/>
        <v>0</v>
      </c>
      <c r="F29" s="42" t="str">
        <f t="shared" si="1"/>
        <v></v>
      </c>
      <c r="G29" s="39"/>
      <c r="I29" s="44"/>
    </row>
    <row r="30" spans="1:9" ht="18.25" customHeight="1">
      <c r="A30" s="39">
        <v>24</v>
      </c>
      <c r="B30" s="40" t="s">
        <v>1388</v>
      </c>
      <c r="C30" s="39" t="str">
        <f>'📱 各班抽查登記表'!E31</f>
        <v/>
      </c>
      <c r="D30" s="39">
        <f>'📱 各班抽查登記表'!F31</f>
        <v>0</v>
      </c>
      <c r="E30" s="43">
        <f t="shared" si="0"/>
        <v>0</v>
      </c>
      <c r="F30" s="42" t="str">
        <f t="shared" si="1"/>
        <v></v>
      </c>
      <c r="G30" s="39"/>
      <c r="I30" s="44"/>
    </row>
    <row r="31" spans="1:9" ht="18.25" customHeight="1">
      <c r="A31" s="39">
        <v>25</v>
      </c>
      <c r="B31" s="40" t="s">
        <v>1388</v>
      </c>
      <c r="C31" s="39" t="str">
        <f>'📱 各班抽查登記表'!E32</f>
        <v/>
      </c>
      <c r="D31" s="39">
        <f>'📱 各班抽查登記表'!F32</f>
        <v>0</v>
      </c>
      <c r="E31" s="43">
        <f t="shared" si="0"/>
        <v>0</v>
      </c>
      <c r="F31" s="42" t="str">
        <f t="shared" si="1"/>
        <v></v>
      </c>
      <c r="G31" s="39"/>
      <c r="I31" s="44"/>
    </row>
    <row r="32" spans="1:9" ht="18.25" customHeight="1">
      <c r="A32" s="39">
        <v>26</v>
      </c>
      <c r="B32" s="40" t="s">
        <v>1388</v>
      </c>
      <c r="C32" s="39" t="str">
        <f>'📱 各班抽查登記表'!E33</f>
        <v/>
      </c>
      <c r="D32" s="39">
        <f>'📱 各班抽查登記表'!F33</f>
        <v>0</v>
      </c>
      <c r="E32" s="43">
        <f t="shared" si="0"/>
        <v>0</v>
      </c>
      <c r="F32" s="42" t="str">
        <f t="shared" si="1"/>
        <v></v>
      </c>
      <c r="G32" s="39"/>
      <c r="I32" s="44"/>
    </row>
    <row r="33" spans="1:9" ht="18.25" customHeight="1">
      <c r="A33" s="39">
        <v>27</v>
      </c>
      <c r="B33" s="40" t="s">
        <v>1388</v>
      </c>
      <c r="C33" s="39" t="str">
        <f>'📱 各班抽查登記表'!E34</f>
        <v/>
      </c>
      <c r="D33" s="39">
        <f>'📱 各班抽查登記表'!F34</f>
        <v>0</v>
      </c>
      <c r="E33" s="43">
        <f t="shared" si="0"/>
        <v>0</v>
      </c>
      <c r="F33" s="42" t="str">
        <f t="shared" si="1"/>
        <v></v>
      </c>
      <c r="G33" s="39"/>
      <c r="I33" s="44"/>
    </row>
    <row r="34" spans="1:9" ht="18.25" customHeight="1">
      <c r="A34" s="39">
        <v>28</v>
      </c>
      <c r="B34" s="40" t="s">
        <v>1388</v>
      </c>
      <c r="C34" s="39" t="str">
        <f>'📱 各班抽查登記表'!E35</f>
        <v/>
      </c>
      <c r="D34" s="39">
        <f>'📱 各班抽查登記表'!F35</f>
        <v>0</v>
      </c>
      <c r="E34" s="43">
        <f t="shared" si="0"/>
        <v>0</v>
      </c>
      <c r="F34" s="42" t="str">
        <f t="shared" si="1"/>
        <v></v>
      </c>
      <c r="G34" s="39"/>
      <c r="I34" s="44"/>
    </row>
    <row r="35" spans="1:9" ht="18.25" customHeight="1">
      <c r="A35" s="39">
        <v>29</v>
      </c>
      <c r="B35" s="40" t="s">
        <v>1388</v>
      </c>
      <c r="C35" s="39" t="str">
        <f>'📱 各班抽查登記表'!E36</f>
        <v/>
      </c>
      <c r="D35" s="39">
        <f>'📱 各班抽查登記表'!F36</f>
        <v>0</v>
      </c>
      <c r="E35" s="43">
        <f t="shared" si="0"/>
        <v>0</v>
      </c>
      <c r="F35" s="42" t="str">
        <f t="shared" si="1"/>
        <v></v>
      </c>
      <c r="G35" s="39"/>
      <c r="I35" s="44"/>
    </row>
    <row r="36" spans="1:9" ht="18.25" customHeight="1">
      <c r="A36" s="39">
        <v>30</v>
      </c>
      <c r="B36" s="40" t="s">
        <v>1388</v>
      </c>
      <c r="C36" s="39" t="str">
        <f>'📱 各班抽查登記表'!E37</f>
        <v/>
      </c>
      <c r="D36" s="39">
        <f>'📱 各班抽查登記表'!F37</f>
        <v>0</v>
      </c>
      <c r="E36" s="43">
        <f t="shared" si="0"/>
        <v>0</v>
      </c>
      <c r="F36" s="42" t="str">
        <f t="shared" si="1"/>
        <v></v>
      </c>
      <c r="G36" s="39"/>
      <c r="I36" s="44"/>
    </row>
    <row r="37" spans="1:9" ht="18.25" customHeight="1">
      <c r="A37" s="39">
        <v>31</v>
      </c>
      <c r="B37" s="40" t="s">
        <v>1388</v>
      </c>
      <c r="C37" s="39" t="str">
        <f>'📱 各班抽查登記表'!E38</f>
        <v/>
      </c>
      <c r="D37" s="39">
        <f>'📱 各班抽查登記表'!F38</f>
        <v>0</v>
      </c>
      <c r="E37" s="43">
        <f t="shared" si="0"/>
        <v>0</v>
      </c>
      <c r="F37" s="42" t="str">
        <f t="shared" si="1"/>
        <v></v>
      </c>
      <c r="G37" s="39"/>
      <c r="I37" s="44"/>
    </row>
    <row r="38" spans="1:9" ht="18.25" customHeight="1">
      <c r="A38" s="39">
        <v>32</v>
      </c>
      <c r="B38" s="40" t="s">
        <v>1388</v>
      </c>
      <c r="C38" s="39" t="str">
        <f>'📱 各班抽查登記表'!E39</f>
        <v/>
      </c>
      <c r="D38" s="39">
        <f>'📱 各班抽查登記表'!F39</f>
        <v>0</v>
      </c>
      <c r="E38" s="43">
        <f t="shared" si="0"/>
        <v>0</v>
      </c>
      <c r="F38" s="42" t="str">
        <f t="shared" si="1"/>
        <v></v>
      </c>
      <c r="G38" s="39"/>
      <c r="I38" s="44"/>
    </row>
    <row r="39" spans="1:9" ht="18.25" customHeight="1">
      <c r="A39" s="39">
        <v>33</v>
      </c>
      <c r="B39" s="40" t="s">
        <v>1388</v>
      </c>
      <c r="C39" s="39" t="str">
        <f>'📱 各班抽查登記表'!E40</f>
        <v/>
      </c>
      <c r="D39" s="39">
        <f>'📱 各班抽查登記表'!F40</f>
        <v>0</v>
      </c>
      <c r="E39" s="43">
        <f t="shared" si="0"/>
        <v>0</v>
      </c>
      <c r="F39" s="42" t="str">
        <f t="shared" si="1"/>
        <v></v>
      </c>
      <c r="G39" s="39"/>
      <c r="I39" s="44"/>
    </row>
    <row r="40" spans="1:9" ht="18.25" customHeight="1">
      <c r="A40" s="39">
        <v>34</v>
      </c>
      <c r="B40" s="45" t="s">
        <v>1389</v>
      </c>
      <c r="C40" s="39" t="str">
        <f>'📱 各班抽查登記表'!E41</f>
        <v/>
      </c>
      <c r="D40" s="39">
        <f>'📱 各班抽查登記表'!F41</f>
        <v>0</v>
      </c>
      <c r="E40" s="43">
        <f t="shared" si="0"/>
        <v>0</v>
      </c>
      <c r="F40" s="42" t="str">
        <f t="shared" si="1"/>
        <v></v>
      </c>
      <c r="G40" s="39"/>
      <c r="I40" s="44"/>
    </row>
    <row r="41" spans="1:9" ht="18.25" customHeight="1">
      <c r="A41" s="39">
        <v>35</v>
      </c>
      <c r="B41" s="45" t="s">
        <v>1389</v>
      </c>
      <c r="C41" s="39" t="str">
        <f>'📱 各班抽查登記表'!E42</f>
        <v/>
      </c>
      <c r="D41" s="39">
        <f>'📱 各班抽查登記表'!F42</f>
        <v>0</v>
      </c>
      <c r="E41" s="43">
        <f t="shared" si="0"/>
        <v>0</v>
      </c>
      <c r="F41" s="42" t="str">
        <f t="shared" si="1"/>
        <v></v>
      </c>
      <c r="G41" s="39"/>
      <c r="I41" s="44"/>
    </row>
    <row r="42" spans="1:9" ht="18.25" customHeight="1">
      <c r="A42" s="39">
        <v>36</v>
      </c>
      <c r="B42" s="45" t="s">
        <v>1389</v>
      </c>
      <c r="C42" s="39" t="str">
        <f>'📱 各班抽查登記表'!E43</f>
        <v/>
      </c>
      <c r="D42" s="39">
        <f>'📱 各班抽查登記表'!F43</f>
        <v>0</v>
      </c>
      <c r="E42" s="43">
        <f t="shared" si="0"/>
        <v>0</v>
      </c>
      <c r="F42" s="42" t="str">
        <f t="shared" si="1"/>
        <v></v>
      </c>
      <c r="G42" s="39"/>
      <c r="I42" s="44"/>
    </row>
    <row r="43" spans="1:9" ht="18.25" customHeight="1">
      <c r="A43" s="39">
        <v>37</v>
      </c>
      <c r="B43" s="45" t="s">
        <v>1389</v>
      </c>
      <c r="C43" s="39" t="str">
        <f>'📱 各班抽查登記表'!E44</f>
        <v/>
      </c>
      <c r="D43" s="39">
        <f>'📱 各班抽查登記表'!F44</f>
        <v>0</v>
      </c>
      <c r="E43" s="43">
        <f t="shared" si="0"/>
        <v>0</v>
      </c>
      <c r="F43" s="42" t="str">
        <f t="shared" si="1"/>
        <v></v>
      </c>
      <c r="G43" s="39"/>
      <c r="I43" s="44"/>
    </row>
    <row r="44" spans="1:9" ht="18.25" customHeight="1">
      <c r="A44" s="39">
        <v>38</v>
      </c>
      <c r="B44" s="45" t="s">
        <v>1389</v>
      </c>
      <c r="C44" s="39" t="str">
        <f>'📱 各班抽查登記表'!E45</f>
        <v/>
      </c>
      <c r="D44" s="39">
        <f>'📱 各班抽查登記表'!F45</f>
        <v>0</v>
      </c>
      <c r="E44" s="43">
        <f t="shared" si="0"/>
        <v>0</v>
      </c>
      <c r="F44" s="42" t="str">
        <f t="shared" si="1"/>
        <v></v>
      </c>
      <c r="G44" s="39"/>
      <c r="I44" s="44"/>
    </row>
    <row r="45" spans="1:9" ht="18.25" customHeight="1">
      <c r="A45" s="39">
        <v>39</v>
      </c>
      <c r="B45" s="45" t="s">
        <v>1389</v>
      </c>
      <c r="C45" s="39" t="str">
        <f>'📱 各班抽查登記表'!E46</f>
        <v/>
      </c>
      <c r="D45" s="39">
        <f>'📱 各班抽查登記表'!F46</f>
        <v>0</v>
      </c>
      <c r="E45" s="43">
        <f t="shared" si="0"/>
        <v>0</v>
      </c>
      <c r="F45" s="42" t="str">
        <f t="shared" si="1"/>
        <v></v>
      </c>
      <c r="G45" s="39"/>
      <c r="I45" s="44"/>
    </row>
    <row r="46" spans="1:9" ht="18.25" customHeight="1">
      <c r="A46" s="39">
        <v>40</v>
      </c>
      <c r="B46" s="45" t="s">
        <v>1389</v>
      </c>
      <c r="C46" s="39" t="str">
        <f>'📱 各班抽查登記表'!E47</f>
        <v/>
      </c>
      <c r="D46" s="39">
        <f>'📱 各班抽查登記表'!F47</f>
        <v>0</v>
      </c>
      <c r="E46" s="43">
        <f t="shared" si="0"/>
        <v>0</v>
      </c>
      <c r="F46" s="42" t="str">
        <f t="shared" si="1"/>
        <v></v>
      </c>
      <c r="G46" s="39"/>
      <c r="I46" s="44"/>
    </row>
    <row r="47" spans="1:9" ht="18.25" customHeight="1">
      <c r="A47" s="39">
        <v>41</v>
      </c>
      <c r="B47" s="45" t="s">
        <v>1389</v>
      </c>
      <c r="C47" s="39" t="str">
        <f>'📱 各班抽查登記表'!E48</f>
        <v/>
      </c>
      <c r="D47" s="39">
        <f>'📱 各班抽查登記表'!F48</f>
        <v>0</v>
      </c>
      <c r="E47" s="43">
        <f t="shared" si="0"/>
        <v>0</v>
      </c>
      <c r="F47" s="42" t="str">
        <f t="shared" si="1"/>
        <v></v>
      </c>
      <c r="G47" s="39"/>
      <c r="I47" s="44"/>
    </row>
    <row r="48" spans="1:9" ht="18.25" customHeight="1">
      <c r="A48" s="39">
        <v>42</v>
      </c>
      <c r="B48" s="45" t="s">
        <v>1389</v>
      </c>
      <c r="C48" s="39" t="str">
        <f>'📱 各班抽查登記表'!E49</f>
        <v/>
      </c>
      <c r="D48" s="39">
        <f>'📱 各班抽查登記表'!F49</f>
        <v>0</v>
      </c>
      <c r="E48" s="43">
        <f t="shared" si="0"/>
        <v>0</v>
      </c>
      <c r="F48" s="42" t="str">
        <f t="shared" si="1"/>
        <v></v>
      </c>
      <c r="G48" s="39"/>
      <c r="I48" s="44"/>
    </row>
    <row r="49" spans="1:9" ht="18.25" customHeight="1">
      <c r="A49" s="39">
        <v>43</v>
      </c>
      <c r="B49" s="45" t="s">
        <v>1389</v>
      </c>
      <c r="C49" s="39" t="str">
        <f>'📱 各班抽查登記表'!E50</f>
        <v/>
      </c>
      <c r="D49" s="39">
        <f>'📱 各班抽查登記表'!F50</f>
        <v>0</v>
      </c>
      <c r="E49" s="43">
        <f t="shared" si="0"/>
        <v>0</v>
      </c>
      <c r="F49" s="42" t="str">
        <f t="shared" si="1"/>
        <v></v>
      </c>
      <c r="G49" s="39"/>
      <c r="I49" s="44"/>
    </row>
    <row r="50" spans="1:9" ht="18.25" customHeight="1">
      <c r="A50" s="39">
        <v>44</v>
      </c>
      <c r="B50" s="45" t="s">
        <v>1389</v>
      </c>
      <c r="C50" s="39" t="str">
        <f>'📱 各班抽查登記表'!E51</f>
        <v/>
      </c>
      <c r="D50" s="39">
        <f>'📱 各班抽查登記表'!F51</f>
        <v>0</v>
      </c>
      <c r="E50" s="43">
        <f t="shared" si="0"/>
        <v>0</v>
      </c>
      <c r="F50" s="42" t="str">
        <f t="shared" si="1"/>
        <v></v>
      </c>
      <c r="G50" s="39"/>
      <c r="I50" s="44"/>
    </row>
    <row r="51" spans="1:9" ht="18.25" customHeight="1">
      <c r="A51" s="39">
        <v>45</v>
      </c>
      <c r="B51" s="40" t="s">
        <v>1390</v>
      </c>
      <c r="C51" s="39" t="str">
        <f>'📱 各班抽查登記表'!E52</f>
        <v/>
      </c>
      <c r="D51" s="39">
        <f>'📱 各班抽查登記表'!F52</f>
        <v>0</v>
      </c>
      <c r="E51" s="43">
        <f t="shared" si="0"/>
        <v>0</v>
      </c>
      <c r="F51" s="42" t="str">
        <f t="shared" si="1"/>
        <v></v>
      </c>
      <c r="G51" s="39"/>
      <c r="I51" s="44"/>
    </row>
    <row r="52" spans="1:9" ht="18.25" customHeight="1">
      <c r="A52" s="39">
        <v>46</v>
      </c>
      <c r="B52" s="40" t="s">
        <v>1390</v>
      </c>
      <c r="C52" s="39" t="str">
        <f>'📱 各班抽查登記表'!E53</f>
        <v/>
      </c>
      <c r="D52" s="39">
        <f>'📱 各班抽查登記表'!F53</f>
        <v>0</v>
      </c>
      <c r="E52" s="43">
        <f t="shared" si="0"/>
        <v>0</v>
      </c>
      <c r="F52" s="42" t="str">
        <f t="shared" si="1"/>
        <v></v>
      </c>
      <c r="G52" s="39"/>
      <c r="I52" s="44"/>
    </row>
    <row r="53" spans="1:9" ht="18.25" customHeight="1">
      <c r="A53" s="39">
        <v>47</v>
      </c>
      <c r="B53" s="40" t="s">
        <v>1390</v>
      </c>
      <c r="C53" s="39" t="str">
        <f>'📱 各班抽查登記表'!E54</f>
        <v/>
      </c>
      <c r="D53" s="39">
        <f>'📱 各班抽查登記表'!F54</f>
        <v>0</v>
      </c>
      <c r="E53" s="43">
        <f t="shared" si="0"/>
        <v>0</v>
      </c>
      <c r="F53" s="42" t="str">
        <f t="shared" si="1"/>
        <v></v>
      </c>
      <c r="G53" s="39"/>
      <c r="I53" s="44"/>
    </row>
    <row r="54" spans="1:9" ht="18.25" customHeight="1">
      <c r="A54" s="39">
        <v>48</v>
      </c>
      <c r="B54" s="40" t="s">
        <v>1390</v>
      </c>
      <c r="C54" s="39" t="str">
        <f>'📱 各班抽查登記表'!E55</f>
        <v/>
      </c>
      <c r="D54" s="39">
        <f>'📱 各班抽查登記表'!F55</f>
        <v>0</v>
      </c>
      <c r="E54" s="43">
        <f t="shared" si="0"/>
        <v>0</v>
      </c>
      <c r="F54" s="42" t="str">
        <f t="shared" si="1"/>
        <v></v>
      </c>
      <c r="G54" s="39"/>
      <c r="I54" s="44"/>
    </row>
    <row r="55" spans="1:9" ht="18.25" customHeight="1">
      <c r="A55" s="39">
        <v>49</v>
      </c>
      <c r="B55" s="40" t="s">
        <v>1390</v>
      </c>
      <c r="C55" s="39" t="str">
        <f>'📱 各班抽查登記表'!E56</f>
        <v/>
      </c>
      <c r="D55" s="39">
        <f>'📱 各班抽查登記表'!F56</f>
        <v>0</v>
      </c>
      <c r="E55" s="43">
        <f t="shared" si="0"/>
        <v>0</v>
      </c>
      <c r="F55" s="42" t="str">
        <f t="shared" si="1"/>
        <v></v>
      </c>
      <c r="G55" s="39"/>
      <c r="I55" s="44"/>
    </row>
    <row r="56" spans="1:9" ht="18.25" customHeight="1">
      <c r="A56" s="39">
        <v>50</v>
      </c>
      <c r="B56" s="40" t="s">
        <v>1390</v>
      </c>
      <c r="C56" s="39" t="str">
        <f>'📱 各班抽查登記表'!E57</f>
        <v/>
      </c>
      <c r="D56" s="39">
        <f>'📱 各班抽查登記表'!F57</f>
        <v>0</v>
      </c>
      <c r="E56" s="43">
        <f t="shared" si="0"/>
        <v>0</v>
      </c>
      <c r="F56" s="42" t="str">
        <f t="shared" si="1"/>
        <v></v>
      </c>
      <c r="G56" s="39"/>
      <c r="I56" s="44"/>
    </row>
    <row r="57" spans="1:9" ht="18.25" customHeight="1">
      <c r="A57" s="39">
        <v>51</v>
      </c>
      <c r="B57" s="40" t="s">
        <v>1390</v>
      </c>
      <c r="C57" s="39" t="str">
        <f>'📱 各班抽查登記表'!E58</f>
        <v/>
      </c>
      <c r="D57" s="39">
        <f>'📱 各班抽查登記表'!F58</f>
        <v>0</v>
      </c>
      <c r="E57" s="43">
        <f t="shared" si="0"/>
        <v>0</v>
      </c>
      <c r="F57" s="42" t="str">
        <f t="shared" si="1"/>
        <v></v>
      </c>
      <c r="G57" s="39"/>
      <c r="I57" s="44"/>
    </row>
    <row r="58" spans="1:9" ht="18.25" customHeight="1">
      <c r="A58" s="39">
        <v>52</v>
      </c>
      <c r="B58" s="40" t="s">
        <v>1390</v>
      </c>
      <c r="C58" s="39" t="str">
        <f>'📱 各班抽查登記表'!E59</f>
        <v/>
      </c>
      <c r="D58" s="39">
        <f>'📱 各班抽查登記表'!F59</f>
        <v>0</v>
      </c>
      <c r="E58" s="43">
        <f t="shared" si="0"/>
        <v>0</v>
      </c>
      <c r="F58" s="42" t="str">
        <f t="shared" si="1"/>
        <v></v>
      </c>
      <c r="G58" s="39"/>
      <c r="I58" s="44"/>
    </row>
    <row r="59" spans="1:9" ht="18.25" customHeight="1">
      <c r="A59" s="39">
        <v>53</v>
      </c>
      <c r="B59" s="40" t="s">
        <v>1390</v>
      </c>
      <c r="C59" s="39" t="str">
        <f>'📱 各班抽查登記表'!E60</f>
        <v/>
      </c>
      <c r="D59" s="39">
        <f>'📱 各班抽查登記表'!F60</f>
        <v>0</v>
      </c>
      <c r="E59" s="43">
        <f t="shared" si="0"/>
        <v>0</v>
      </c>
      <c r="F59" s="42" t="str">
        <f t="shared" si="1"/>
        <v></v>
      </c>
      <c r="G59" s="39"/>
      <c r="I59" s="44"/>
    </row>
    <row r="60" spans="1:9" ht="18.25" customHeight="1">
      <c r="A60" s="39">
        <v>54</v>
      </c>
      <c r="B60" s="40" t="s">
        <v>1390</v>
      </c>
      <c r="C60" s="39" t="str">
        <f>'📱 各班抽查登記表'!E61</f>
        <v/>
      </c>
      <c r="D60" s="39">
        <f>'📱 各班抽查登記表'!F61</f>
        <v>0</v>
      </c>
      <c r="E60" s="43">
        <f t="shared" si="0"/>
        <v>0</v>
      </c>
      <c r="F60" s="42" t="str">
        <f t="shared" si="1"/>
        <v></v>
      </c>
      <c r="G60" s="39"/>
      <c r="I60" s="44"/>
    </row>
    <row r="61" spans="1:9" ht="18.25" customHeight="1">
      <c r="A61" s="39">
        <v>55</v>
      </c>
      <c r="B61" s="40" t="s">
        <v>1390</v>
      </c>
      <c r="C61" s="39" t="str">
        <f>'📱 各班抽查登記表'!E62</f>
        <v/>
      </c>
      <c r="D61" s="39">
        <f>'📱 各班抽查登記表'!F62</f>
        <v>0</v>
      </c>
      <c r="E61" s="43">
        <f t="shared" si="0"/>
        <v>0</v>
      </c>
      <c r="F61" s="42" t="str">
        <f t="shared" si="1"/>
        <v></v>
      </c>
      <c r="G61" s="39"/>
      <c r="I61" s="44"/>
    </row>
    <row r="62" spans="1:9" ht="18.25" customHeight="1">
      <c r="A62" s="39">
        <v>56</v>
      </c>
      <c r="B62" s="40" t="s">
        <v>1390</v>
      </c>
      <c r="C62" s="39" t="str">
        <f>'📱 各班抽查登記表'!E63</f>
        <v/>
      </c>
      <c r="D62" s="39">
        <f>'📱 各班抽查登記表'!F63</f>
        <v>0</v>
      </c>
      <c r="E62" s="43">
        <f t="shared" si="0"/>
        <v>0</v>
      </c>
      <c r="F62" s="42" t="str">
        <f t="shared" si="1"/>
        <v></v>
      </c>
      <c r="G62" s="39"/>
      <c r="I62" s="44"/>
    </row>
    <row r="63" spans="1:9" ht="18.25" customHeight="1">
      <c r="A63" s="39">
        <v>57</v>
      </c>
      <c r="B63" s="40" t="s">
        <v>1390</v>
      </c>
      <c r="C63" s="39" t="str">
        <f>'📱 各班抽查登記表'!E64</f>
        <v/>
      </c>
      <c r="D63" s="39">
        <f>'📱 各班抽查登記表'!F64</f>
        <v>0</v>
      </c>
      <c r="E63" s="43">
        <f t="shared" si="0"/>
        <v>0</v>
      </c>
      <c r="F63" s="42" t="str">
        <f t="shared" si="1"/>
        <v></v>
      </c>
      <c r="G63" s="39"/>
      <c r="I63" s="44"/>
    </row>
    <row r="64" spans="1:9" ht="18.25" customHeight="1">
      <c r="A64" s="39">
        <v>58</v>
      </c>
      <c r="B64" s="40" t="s">
        <v>1390</v>
      </c>
      <c r="C64" s="39" t="str">
        <f>'📱 各班抽查登記表'!E65</f>
        <v/>
      </c>
      <c r="D64" s="39">
        <f>'📱 各班抽查登記表'!F65</f>
        <v>0</v>
      </c>
      <c r="E64" s="43">
        <f t="shared" si="0"/>
        <v>0</v>
      </c>
      <c r="F64" s="42" t="str">
        <f t="shared" si="1"/>
        <v></v>
      </c>
      <c r="G64" s="39"/>
      <c r="I64" s="44"/>
    </row>
    <row r="65" spans="1:9" ht="18.25" customHeight="1">
      <c r="A65" s="39">
        <v>59</v>
      </c>
      <c r="B65" s="40" t="s">
        <v>1390</v>
      </c>
      <c r="C65" s="39" t="str">
        <f>'📱 各班抽查登記表'!E66</f>
        <v/>
      </c>
      <c r="D65" s="39">
        <f>'📱 各班抽查登記表'!F66</f>
        <v>0</v>
      </c>
      <c r="E65" s="43">
        <f t="shared" si="0"/>
        <v>0</v>
      </c>
      <c r="F65" s="42" t="str">
        <f t="shared" si="1"/>
        <v></v>
      </c>
      <c r="G65" s="39"/>
      <c r="I65" s="44"/>
    </row>
    <row r="66" spans="1:9" ht="18.25" customHeight="1">
      <c r="A66" s="39">
        <v>60</v>
      </c>
      <c r="B66" s="40" t="s">
        <v>1390</v>
      </c>
      <c r="C66" s="39" t="str">
        <f>'📱 各班抽查登記表'!E67</f>
        <v/>
      </c>
      <c r="D66" s="39">
        <f>'📱 各班抽查登記表'!F67</f>
        <v>0</v>
      </c>
      <c r="E66" s="43">
        <f t="shared" si="0"/>
        <v>0</v>
      </c>
      <c r="F66" s="42" t="str">
        <f t="shared" si="1"/>
        <v></v>
      </c>
      <c r="G66" s="39"/>
      <c r="I66" s="44"/>
    </row>
    <row r="67" spans="1:9" ht="18.25" customHeight="1">
      <c r="A67" s="39">
        <v>61</v>
      </c>
      <c r="B67" s="40" t="s">
        <v>1390</v>
      </c>
      <c r="C67" s="39" t="str">
        <f>'📱 各班抽查登記表'!E68</f>
        <v/>
      </c>
      <c r="D67" s="39">
        <f>'📱 各班抽查登記表'!F68</f>
        <v>0</v>
      </c>
      <c r="E67" s="43">
        <f t="shared" si="0"/>
        <v>0</v>
      </c>
      <c r="F67" s="42" t="str">
        <f t="shared" si="1"/>
        <v></v>
      </c>
      <c r="G67" s="39"/>
      <c r="I67" s="44"/>
    </row>
    <row r="68" spans="1:9" ht="18.25" customHeight="1">
      <c r="A68" s="39">
        <v>62</v>
      </c>
      <c r="B68" s="40" t="s">
        <v>1390</v>
      </c>
      <c r="C68" s="39" t="str">
        <f>'📱 各班抽查登記表'!E69</f>
        <v/>
      </c>
      <c r="D68" s="39">
        <f>'📱 各班抽查登記表'!F69</f>
        <v>0</v>
      </c>
      <c r="E68" s="43">
        <f t="shared" si="0"/>
        <v>0</v>
      </c>
      <c r="F68" s="42" t="str">
        <f t="shared" si="1"/>
        <v></v>
      </c>
      <c r="G68" s="39"/>
      <c r="I68" s="44"/>
    </row>
    <row r="69" spans="1:9" ht="18.25" customHeight="1">
      <c r="A69" s="39">
        <v>63</v>
      </c>
      <c r="B69" s="40" t="s">
        <v>1390</v>
      </c>
      <c r="C69" s="39" t="str">
        <f>'📱 各班抽查登記表'!E70</f>
        <v/>
      </c>
      <c r="D69" s="39">
        <f>'📱 各班抽查登記表'!F70</f>
        <v>0</v>
      </c>
      <c r="E69" s="43">
        <f t="shared" si="0"/>
        <v>0</v>
      </c>
      <c r="F69" s="42" t="str">
        <f t="shared" si="1"/>
        <v></v>
      </c>
      <c r="G69" s="39"/>
      <c r="I69" s="44"/>
    </row>
    <row r="70" spans="1:9" ht="18.25" customHeight="1">
      <c r="A70" s="39">
        <v>64</v>
      </c>
      <c r="B70" s="40" t="s">
        <v>1390</v>
      </c>
      <c r="C70" s="39" t="str">
        <f>'📱 各班抽查登記表'!E71</f>
        <v/>
      </c>
      <c r="D70" s="39">
        <f>'📱 各班抽查登記表'!F71</f>
        <v>0</v>
      </c>
      <c r="E70" s="43">
        <f t="shared" si="0"/>
        <v>0</v>
      </c>
      <c r="F70" s="42" t="str">
        <f t="shared" si="1"/>
        <v></v>
      </c>
      <c r="G70" s="39"/>
      <c r="I70" s="44"/>
    </row>
    <row r="71" spans="1:9" ht="18.25" customHeight="1">
      <c r="A71" s="39">
        <v>65</v>
      </c>
      <c r="B71" s="40" t="s">
        <v>1390</v>
      </c>
      <c r="C71" s="39" t="str">
        <f>'📱 各班抽查登記表'!E72</f>
        <v/>
      </c>
      <c r="D71" s="39">
        <f>'📱 各班抽查登記表'!F72</f>
        <v>0</v>
      </c>
      <c r="E71" s="43">
        <f t="shared" si="0"/>
        <v>0</v>
      </c>
      <c r="F71" s="42" t="str">
        <f t="shared" si="1"/>
        <v></v>
      </c>
      <c r="G71" s="39"/>
      <c r="I71" s="44"/>
    </row>
    <row r="72" spans="1:9" ht="18.25" customHeight="1">
      <c r="A72" s="39">
        <v>66</v>
      </c>
      <c r="B72" s="40" t="s">
        <v>1390</v>
      </c>
      <c r="C72" s="39" t="str">
        <f>'📱 各班抽查登記表'!E73</f>
        <v/>
      </c>
      <c r="D72" s="39">
        <f>'📱 各班抽查登記表'!F73</f>
        <v>0</v>
      </c>
      <c r="E72" s="43">
        <f t="shared" si="0"/>
        <v>0</v>
      </c>
      <c r="F72" s="42" t="str">
        <f t="shared" si="1"/>
        <v></v>
      </c>
      <c r="G72" s="39"/>
      <c r="I72" s="44"/>
    </row>
    <row r="73" spans="1:9" ht="18.25" customHeight="1">
      <c r="A73" s="39">
        <v>67</v>
      </c>
      <c r="B73" s="40" t="s">
        <v>1391</v>
      </c>
      <c r="C73" s="39" t="str">
        <f>'📱 各班抽查登記表'!E74</f>
        <v/>
      </c>
      <c r="D73" s="39">
        <f>'📱 各班抽查登記表'!F74</f>
        <v>0</v>
      </c>
      <c r="E73" s="43">
        <f t="shared" si="0"/>
        <v>0</v>
      </c>
      <c r="F73" s="42" t="str">
        <f t="shared" si="1"/>
        <v></v>
      </c>
      <c r="G73" s="39"/>
      <c r="I73" s="44"/>
    </row>
    <row r="74" spans="1:9" ht="18.25" customHeight="1">
      <c r="A74" s="39">
        <v>68</v>
      </c>
      <c r="B74" s="40" t="s">
        <v>1391</v>
      </c>
      <c r="C74" s="39" t="str">
        <f>'📱 各班抽查登記表'!E75</f>
        <v/>
      </c>
      <c r="D74" s="39">
        <f>'📱 各班抽查登記表'!F75</f>
        <v>0</v>
      </c>
      <c r="E74" s="43">
        <f t="shared" si="0"/>
        <v>0</v>
      </c>
      <c r="F74" s="42" t="str">
        <f t="shared" si="1"/>
        <v></v>
      </c>
      <c r="G74" s="39"/>
      <c r="I74" s="44"/>
    </row>
    <row r="75" spans="1:9" ht="18.25" customHeight="1">
      <c r="A75" s="39">
        <v>69</v>
      </c>
      <c r="B75" s="40" t="s">
        <v>1391</v>
      </c>
      <c r="C75" s="39" t="str">
        <f>'📱 各班抽查登記表'!E76</f>
        <v/>
      </c>
      <c r="D75" s="39">
        <f>'📱 各班抽查登記表'!F76</f>
        <v>0</v>
      </c>
      <c r="E75" s="43">
        <f t="shared" si="0"/>
        <v>0</v>
      </c>
      <c r="F75" s="42" t="str">
        <f t="shared" si="1"/>
        <v></v>
      </c>
      <c r="G75" s="39"/>
      <c r="I75" s="44"/>
    </row>
    <row r="76" spans="1:9" ht="18.25" customHeight="1">
      <c r="A76" s="39">
        <v>70</v>
      </c>
      <c r="B76" s="40" t="s">
        <v>1391</v>
      </c>
      <c r="C76" s="39" t="str">
        <f>'📱 各班抽查登記表'!E77</f>
        <v/>
      </c>
      <c r="D76" s="39">
        <f>'📱 各班抽查登記表'!F77</f>
        <v>0</v>
      </c>
      <c r="E76" s="43">
        <f t="shared" si="0"/>
        <v>0</v>
      </c>
      <c r="F76" s="42" t="str">
        <f t="shared" si="1"/>
        <v></v>
      </c>
      <c r="G76" s="39"/>
      <c r="I76" s="44"/>
    </row>
    <row r="77" spans="1:9" ht="18.25" customHeight="1">
      <c r="A77" s="39">
        <v>71</v>
      </c>
      <c r="B77" s="40" t="s">
        <v>1391</v>
      </c>
      <c r="C77" s="39" t="str">
        <f>'📱 各班抽查登記表'!E78</f>
        <v/>
      </c>
      <c r="D77" s="39">
        <f>'📱 各班抽查登記表'!F78</f>
        <v>0</v>
      </c>
      <c r="E77" s="43">
        <f t="shared" si="0"/>
        <v>0</v>
      </c>
      <c r="F77" s="42" t="str">
        <f t="shared" si="1"/>
        <v></v>
      </c>
      <c r="G77" s="39"/>
      <c r="I77" s="44"/>
    </row>
    <row r="78" spans="1:9" ht="18.25" customHeight="1">
      <c r="A78" s="39">
        <v>72</v>
      </c>
      <c r="B78" s="40" t="s">
        <v>1391</v>
      </c>
      <c r="C78" s="39" t="str">
        <f>'📱 各班抽查登記表'!E79</f>
        <v/>
      </c>
      <c r="D78" s="39">
        <f>'📱 各班抽查登記表'!F79</f>
        <v>0</v>
      </c>
      <c r="E78" s="43">
        <f t="shared" si="0"/>
        <v>0</v>
      </c>
      <c r="F78" s="42" t="str">
        <f t="shared" si="1"/>
        <v></v>
      </c>
      <c r="G78" s="39"/>
      <c r="I78" s="44"/>
    </row>
    <row r="79" spans="1:9" ht="18.25" customHeight="1">
      <c r="A79" s="39">
        <v>73</v>
      </c>
      <c r="B79" s="40" t="s">
        <v>1391</v>
      </c>
      <c r="C79" s="39" t="str">
        <f>'📱 各班抽查登記表'!E80</f>
        <v/>
      </c>
      <c r="D79" s="39">
        <f>'📱 各班抽查登記表'!F80</f>
        <v>0</v>
      </c>
      <c r="E79" s="43">
        <f t="shared" si="0"/>
        <v>0</v>
      </c>
      <c r="F79" s="42" t="str">
        <f t="shared" si="1"/>
        <v></v>
      </c>
      <c r="G79" s="39"/>
      <c r="I79" s="44"/>
    </row>
    <row r="80" spans="1:9" ht="18.25" customHeight="1">
      <c r="A80" s="39">
        <v>74</v>
      </c>
      <c r="B80" s="40" t="s">
        <v>1391</v>
      </c>
      <c r="C80" s="39" t="str">
        <f>'📱 各班抽查登記表'!E81</f>
        <v/>
      </c>
      <c r="D80" s="39">
        <f>'📱 各班抽查登記表'!F81</f>
        <v>0</v>
      </c>
      <c r="E80" s="43">
        <f t="shared" si="0"/>
        <v>0</v>
      </c>
      <c r="F80" s="42" t="str">
        <f t="shared" si="1"/>
        <v></v>
      </c>
      <c r="G80" s="39"/>
      <c r="I80" s="44"/>
    </row>
    <row r="81" spans="1:9" ht="18.25" customHeight="1">
      <c r="A81" s="39">
        <v>75</v>
      </c>
      <c r="B81" s="40" t="s">
        <v>1391</v>
      </c>
      <c r="C81" s="39" t="str">
        <f>'📱 各班抽查登記表'!E82</f>
        <v/>
      </c>
      <c r="D81" s="39">
        <f>'📱 各班抽查登記表'!F82</f>
        <v>0</v>
      </c>
      <c r="E81" s="43">
        <f t="shared" si="0"/>
        <v>0</v>
      </c>
      <c r="F81" s="42" t="str">
        <f t="shared" si="1"/>
        <v></v>
      </c>
      <c r="G81" s="39"/>
      <c r="I81" s="44"/>
    </row>
    <row r="82" spans="1:9" ht="18.25" customHeight="1">
      <c r="A82" s="39">
        <v>76</v>
      </c>
      <c r="B82" s="40" t="s">
        <v>1391</v>
      </c>
      <c r="C82" s="39" t="str">
        <f>'📱 各班抽查登記表'!E83</f>
        <v/>
      </c>
      <c r="D82" s="39">
        <f>'📱 各班抽查登記表'!F83</f>
        <v>0</v>
      </c>
      <c r="E82" s="43">
        <f t="shared" si="0"/>
        <v>0</v>
      </c>
      <c r="F82" s="42" t="str">
        <f t="shared" si="1"/>
        <v></v>
      </c>
      <c r="G82" s="39"/>
      <c r="I82" s="44"/>
    </row>
    <row r="83" spans="1:9" ht="18.25" customHeight="1">
      <c r="A83" s="39">
        <v>77</v>
      </c>
      <c r="B83" s="40" t="s">
        <v>1391</v>
      </c>
      <c r="C83" s="39" t="str">
        <f>'📱 各班抽查登記表'!E84</f>
        <v/>
      </c>
      <c r="D83" s="39">
        <f>'📱 各班抽查登記表'!F84</f>
        <v>0</v>
      </c>
      <c r="E83" s="43">
        <f t="shared" ref="E83:E146" si="2">IFERROR(D83/C83,0)</f>
        <v>0</v>
      </c>
      <c r="F83" s="42" t="str">
        <f t="shared" ref="F83:F146" si="3">IF(E83&lt;=0.15,"","")</f>
        <v></v>
      </c>
      <c r="G83" s="39"/>
      <c r="I83" s="44"/>
    </row>
    <row r="84" spans="1:9" ht="18.25" customHeight="1">
      <c r="A84" s="39">
        <v>78</v>
      </c>
      <c r="B84" s="40" t="s">
        <v>1391</v>
      </c>
      <c r="C84" s="39" t="str">
        <f>'📱 各班抽查登記表'!E85</f>
        <v/>
      </c>
      <c r="D84" s="39">
        <f>'📱 各班抽查登記表'!F85</f>
        <v>0</v>
      </c>
      <c r="E84" s="43">
        <f t="shared" si="2"/>
        <v>0</v>
      </c>
      <c r="F84" s="42" t="str">
        <f t="shared" si="3"/>
        <v></v>
      </c>
      <c r="G84" s="39"/>
      <c r="I84" s="44"/>
    </row>
    <row r="85" spans="1:9" ht="18.25" customHeight="1">
      <c r="A85" s="39">
        <v>79</v>
      </c>
      <c r="B85" s="40" t="s">
        <v>1391</v>
      </c>
      <c r="C85" s="39" t="str">
        <f>'📱 各班抽查登記表'!E86</f>
        <v/>
      </c>
      <c r="D85" s="39">
        <f>'📱 各班抽查登記表'!F86</f>
        <v>0</v>
      </c>
      <c r="E85" s="43">
        <f t="shared" si="2"/>
        <v>0</v>
      </c>
      <c r="F85" s="42" t="str">
        <f t="shared" si="3"/>
        <v></v>
      </c>
      <c r="G85" s="39"/>
      <c r="I85" s="44"/>
    </row>
    <row r="86" spans="1:9" ht="18.25" customHeight="1">
      <c r="A86" s="39">
        <v>80</v>
      </c>
      <c r="B86" s="40" t="s">
        <v>1391</v>
      </c>
      <c r="C86" s="39" t="str">
        <f>'📱 各班抽查登記表'!E87</f>
        <v/>
      </c>
      <c r="D86" s="39">
        <f>'📱 各班抽查登記表'!F87</f>
        <v>0</v>
      </c>
      <c r="E86" s="43">
        <f t="shared" si="2"/>
        <v>0</v>
      </c>
      <c r="F86" s="42" t="str">
        <f t="shared" si="3"/>
        <v></v>
      </c>
      <c r="G86" s="39"/>
      <c r="I86" s="44"/>
    </row>
    <row r="87" spans="1:9" ht="18.25" customHeight="1">
      <c r="A87" s="39">
        <v>81</v>
      </c>
      <c r="B87" s="40" t="s">
        <v>1391</v>
      </c>
      <c r="C87" s="39" t="str">
        <f>'📱 各班抽查登記表'!E88</f>
        <v/>
      </c>
      <c r="D87" s="39">
        <f>'📱 各班抽查登記表'!F88</f>
        <v>0</v>
      </c>
      <c r="E87" s="43">
        <f t="shared" si="2"/>
        <v>0</v>
      </c>
      <c r="F87" s="42" t="str">
        <f t="shared" si="3"/>
        <v></v>
      </c>
      <c r="G87" s="39"/>
      <c r="I87" s="44"/>
    </row>
    <row r="88" spans="1:9" ht="18.25" customHeight="1">
      <c r="A88" s="39">
        <v>82</v>
      </c>
      <c r="B88" s="40" t="s">
        <v>1391</v>
      </c>
      <c r="C88" s="39" t="str">
        <f>'📱 各班抽查登記表'!E89</f>
        <v/>
      </c>
      <c r="D88" s="39">
        <f>'📱 各班抽查登記表'!F89</f>
        <v>0</v>
      </c>
      <c r="E88" s="43">
        <f t="shared" si="2"/>
        <v>0</v>
      </c>
      <c r="F88" s="42" t="str">
        <f t="shared" si="3"/>
        <v></v>
      </c>
      <c r="G88" s="39"/>
      <c r="I88" s="44"/>
    </row>
    <row r="89" spans="1:9" ht="18.25" customHeight="1">
      <c r="A89" s="39">
        <v>83</v>
      </c>
      <c r="B89" s="40" t="s">
        <v>1391</v>
      </c>
      <c r="C89" s="39" t="str">
        <f>'📱 各班抽查登記表'!E90</f>
        <v/>
      </c>
      <c r="D89" s="39">
        <f>'📱 各班抽查登記表'!F90</f>
        <v>0</v>
      </c>
      <c r="E89" s="43">
        <f t="shared" si="2"/>
        <v>0</v>
      </c>
      <c r="F89" s="42" t="str">
        <f t="shared" si="3"/>
        <v></v>
      </c>
      <c r="G89" s="39"/>
      <c r="I89" s="44"/>
    </row>
    <row r="90" spans="1:9" ht="18.25" customHeight="1">
      <c r="A90" s="39">
        <v>84</v>
      </c>
      <c r="B90" s="40" t="s">
        <v>1391</v>
      </c>
      <c r="C90" s="39" t="str">
        <f>'📱 各班抽查登記表'!E91</f>
        <v/>
      </c>
      <c r="D90" s="39">
        <f>'📱 各班抽查登記表'!F91</f>
        <v>0</v>
      </c>
      <c r="E90" s="43">
        <f t="shared" si="2"/>
        <v>0</v>
      </c>
      <c r="F90" s="42" t="str">
        <f t="shared" si="3"/>
        <v></v>
      </c>
      <c r="G90" s="39"/>
      <c r="I90" s="44"/>
    </row>
    <row r="91" spans="1:9" ht="18.25" customHeight="1">
      <c r="A91" s="39">
        <v>85</v>
      </c>
      <c r="B91" s="40" t="s">
        <v>1391</v>
      </c>
      <c r="C91" s="39" t="str">
        <f>'📱 各班抽查登記表'!E92</f>
        <v/>
      </c>
      <c r="D91" s="39">
        <f>'📱 各班抽查登記表'!F92</f>
        <v>0</v>
      </c>
      <c r="E91" s="43">
        <f t="shared" si="2"/>
        <v>0</v>
      </c>
      <c r="F91" s="42" t="str">
        <f t="shared" si="3"/>
        <v></v>
      </c>
      <c r="G91" s="39"/>
      <c r="I91" s="44"/>
    </row>
    <row r="92" spans="1:9" ht="18.25" customHeight="1">
      <c r="A92" s="39">
        <v>86</v>
      </c>
      <c r="B92" s="40" t="s">
        <v>1391</v>
      </c>
      <c r="C92" s="39" t="str">
        <f>'📱 各班抽查登記表'!E93</f>
        <v/>
      </c>
      <c r="D92" s="39">
        <f>'📱 各班抽查登記表'!F93</f>
        <v>0</v>
      </c>
      <c r="E92" s="43">
        <f t="shared" si="2"/>
        <v>0</v>
      </c>
      <c r="F92" s="42" t="str">
        <f t="shared" si="3"/>
        <v></v>
      </c>
      <c r="G92" s="39"/>
      <c r="I92" s="44"/>
    </row>
    <row r="93" spans="1:9" ht="18.25" customHeight="1">
      <c r="A93" s="39">
        <v>87</v>
      </c>
      <c r="B93" s="40" t="s">
        <v>1391</v>
      </c>
      <c r="C93" s="39" t="str">
        <f>'📱 各班抽查登記表'!E94</f>
        <v/>
      </c>
      <c r="D93" s="39">
        <f>'📱 各班抽查登記表'!F94</f>
        <v>0</v>
      </c>
      <c r="E93" s="43">
        <f t="shared" si="2"/>
        <v>0</v>
      </c>
      <c r="F93" s="42" t="str">
        <f t="shared" si="3"/>
        <v></v>
      </c>
      <c r="G93" s="39"/>
      <c r="I93" s="44"/>
    </row>
    <row r="94" spans="1:9" ht="18.25" customHeight="1">
      <c r="A94" s="39">
        <v>88</v>
      </c>
      <c r="B94" s="40" t="s">
        <v>1391</v>
      </c>
      <c r="C94" s="39" t="str">
        <f>'📱 各班抽查登記表'!E95</f>
        <v/>
      </c>
      <c r="D94" s="39">
        <f>'📱 各班抽查登記表'!F95</f>
        <v>0</v>
      </c>
      <c r="E94" s="43">
        <f t="shared" si="2"/>
        <v>0</v>
      </c>
      <c r="F94" s="42" t="str">
        <f t="shared" si="3"/>
        <v></v>
      </c>
      <c r="G94" s="39"/>
      <c r="I94" s="44"/>
    </row>
    <row r="95" spans="1:9" ht="18.25" customHeight="1">
      <c r="A95" s="39">
        <v>89</v>
      </c>
      <c r="B95" s="40" t="s">
        <v>1391</v>
      </c>
      <c r="C95" s="39" t="str">
        <f>'📱 各班抽查登記表'!E96</f>
        <v/>
      </c>
      <c r="D95" s="39">
        <f>'📱 各班抽查登記表'!F96</f>
        <v>0</v>
      </c>
      <c r="E95" s="43">
        <f t="shared" si="2"/>
        <v>0</v>
      </c>
      <c r="F95" s="42" t="str">
        <f t="shared" si="3"/>
        <v></v>
      </c>
      <c r="G95" s="39"/>
      <c r="I95" s="44"/>
    </row>
    <row r="96" spans="1:9" ht="18.25" customHeight="1">
      <c r="A96" s="39">
        <v>90</v>
      </c>
      <c r="B96" s="40" t="s">
        <v>1391</v>
      </c>
      <c r="C96" s="39" t="str">
        <f>'📱 各班抽查登記表'!E97</f>
        <v/>
      </c>
      <c r="D96" s="39">
        <f>'📱 各班抽查登記表'!F97</f>
        <v>0</v>
      </c>
      <c r="E96" s="43">
        <f t="shared" si="2"/>
        <v>0</v>
      </c>
      <c r="F96" s="42" t="str">
        <f t="shared" si="3"/>
        <v></v>
      </c>
      <c r="G96" s="39"/>
      <c r="I96" s="44"/>
    </row>
    <row r="97" spans="1:9" ht="18.25" customHeight="1">
      <c r="A97" s="39">
        <v>91</v>
      </c>
      <c r="B97" s="40" t="s">
        <v>1391</v>
      </c>
      <c r="C97" s="39" t="str">
        <f>'📱 各班抽查登記表'!E98</f>
        <v/>
      </c>
      <c r="D97" s="39">
        <f>'📱 各班抽查登記表'!F98</f>
        <v>0</v>
      </c>
      <c r="E97" s="43">
        <f t="shared" si="2"/>
        <v>0</v>
      </c>
      <c r="F97" s="42" t="str">
        <f t="shared" si="3"/>
        <v></v>
      </c>
      <c r="G97" s="39"/>
      <c r="I97" s="44"/>
    </row>
    <row r="98" spans="1:9" ht="18.25" customHeight="1">
      <c r="A98" s="39">
        <v>92</v>
      </c>
      <c r="B98" s="40" t="s">
        <v>1391</v>
      </c>
      <c r="C98" s="39" t="str">
        <f>'📱 各班抽查登記表'!E99</f>
        <v/>
      </c>
      <c r="D98" s="39">
        <f>'📱 各班抽查登記表'!F99</f>
        <v>0</v>
      </c>
      <c r="E98" s="43">
        <f t="shared" si="2"/>
        <v>0</v>
      </c>
      <c r="F98" s="42" t="str">
        <f t="shared" si="3"/>
        <v></v>
      </c>
      <c r="G98" s="39"/>
      <c r="I98" s="44"/>
    </row>
    <row r="99" spans="1:9" ht="18.25" customHeight="1">
      <c r="A99" s="39">
        <v>93</v>
      </c>
      <c r="B99" s="40" t="s">
        <v>1391</v>
      </c>
      <c r="C99" s="39" t="str">
        <f>'📱 各班抽查登記表'!E100</f>
        <v/>
      </c>
      <c r="D99" s="39">
        <f>'📱 各班抽查登記表'!F100</f>
        <v>0</v>
      </c>
      <c r="E99" s="43">
        <f t="shared" si="2"/>
        <v>0</v>
      </c>
      <c r="F99" s="42" t="str">
        <f t="shared" si="3"/>
        <v></v>
      </c>
      <c r="G99" s="39"/>
      <c r="I99" s="44"/>
    </row>
    <row r="100" spans="1:9" ht="18.25" customHeight="1">
      <c r="A100" s="39">
        <v>94</v>
      </c>
      <c r="B100" s="40" t="s">
        <v>1391</v>
      </c>
      <c r="C100" s="39" t="str">
        <f>'📱 各班抽查登記表'!E101</f>
        <v/>
      </c>
      <c r="D100" s="39">
        <f>'📱 各班抽查登記表'!F101</f>
        <v>0</v>
      </c>
      <c r="E100" s="43">
        <f t="shared" si="2"/>
        <v>0</v>
      </c>
      <c r="F100" s="42" t="str">
        <f t="shared" si="3"/>
        <v></v>
      </c>
      <c r="G100" s="39"/>
      <c r="I100" s="44"/>
    </row>
    <row r="101" spans="1:9" ht="18.25" customHeight="1">
      <c r="A101" s="39">
        <v>95</v>
      </c>
      <c r="B101" s="40" t="s">
        <v>1391</v>
      </c>
      <c r="C101" s="39" t="str">
        <f>'📱 各班抽查登記表'!E102</f>
        <v/>
      </c>
      <c r="D101" s="39">
        <f>'📱 各班抽查登記表'!F102</f>
        <v>0</v>
      </c>
      <c r="E101" s="43">
        <f t="shared" si="2"/>
        <v>0</v>
      </c>
      <c r="F101" s="42" t="str">
        <f t="shared" si="3"/>
        <v></v>
      </c>
      <c r="G101" s="39"/>
      <c r="I101" s="44"/>
    </row>
    <row r="102" spans="1:9" ht="18.25" customHeight="1">
      <c r="A102" s="39">
        <v>96</v>
      </c>
      <c r="B102" s="40" t="s">
        <v>1391</v>
      </c>
      <c r="C102" s="39" t="str">
        <f>'📱 各班抽查登記表'!E103</f>
        <v/>
      </c>
      <c r="D102" s="39">
        <f>'📱 各班抽查登記表'!F103</f>
        <v>0</v>
      </c>
      <c r="E102" s="43">
        <f t="shared" si="2"/>
        <v>0</v>
      </c>
      <c r="F102" s="42" t="str">
        <f t="shared" si="3"/>
        <v></v>
      </c>
      <c r="G102" s="39"/>
      <c r="I102" s="44"/>
    </row>
    <row r="103" spans="1:9" ht="18.25" customHeight="1">
      <c r="A103" s="39">
        <v>97</v>
      </c>
      <c r="B103" s="40" t="s">
        <v>1391</v>
      </c>
      <c r="C103" s="39" t="str">
        <f>'📱 各班抽查登記表'!E104</f>
        <v/>
      </c>
      <c r="D103" s="39">
        <f>'📱 各班抽查登記表'!F104</f>
        <v>0</v>
      </c>
      <c r="E103" s="43">
        <f t="shared" si="2"/>
        <v>0</v>
      </c>
      <c r="F103" s="42" t="str">
        <f t="shared" si="3"/>
        <v></v>
      </c>
      <c r="G103" s="39"/>
      <c r="I103" s="44"/>
    </row>
    <row r="104" spans="1:9" ht="18.25" customHeight="1">
      <c r="A104" s="39">
        <v>98</v>
      </c>
      <c r="B104" s="40" t="s">
        <v>1391</v>
      </c>
      <c r="C104" s="39" t="str">
        <f>'📱 各班抽查登記表'!E105</f>
        <v/>
      </c>
      <c r="D104" s="39">
        <f>'📱 各班抽查登記表'!F105</f>
        <v>0</v>
      </c>
      <c r="E104" s="43">
        <f t="shared" si="2"/>
        <v>0</v>
      </c>
      <c r="F104" s="42" t="str">
        <f t="shared" si="3"/>
        <v></v>
      </c>
      <c r="G104" s="39"/>
      <c r="I104" s="44"/>
    </row>
    <row r="105" spans="1:9" ht="18.25" customHeight="1">
      <c r="A105" s="39">
        <v>99</v>
      </c>
      <c r="B105" s="40" t="s">
        <v>1391</v>
      </c>
      <c r="C105" s="39" t="str">
        <f>'📱 各班抽查登記表'!E106</f>
        <v/>
      </c>
      <c r="D105" s="39">
        <f>'📱 各班抽查登記表'!F106</f>
        <v>0</v>
      </c>
      <c r="E105" s="43">
        <f t="shared" si="2"/>
        <v>0</v>
      </c>
      <c r="F105" s="42" t="str">
        <f t="shared" si="3"/>
        <v></v>
      </c>
      <c r="G105" s="39"/>
      <c r="I105" s="44"/>
    </row>
    <row r="106" spans="1:9" ht="18.25" customHeight="1">
      <c r="A106" s="39">
        <v>100</v>
      </c>
      <c r="B106" s="40" t="s">
        <v>1391</v>
      </c>
      <c r="C106" s="39" t="str">
        <f>'📱 各班抽查登記表'!E107</f>
        <v/>
      </c>
      <c r="D106" s="39">
        <f>'📱 各班抽查登記表'!F107</f>
        <v>0</v>
      </c>
      <c r="E106" s="43">
        <f t="shared" si="2"/>
        <v>0</v>
      </c>
      <c r="F106" s="42" t="str">
        <f t="shared" si="3"/>
        <v></v>
      </c>
      <c r="G106" s="39"/>
      <c r="I106" s="44"/>
    </row>
    <row r="107" spans="1:9" ht="18.25" customHeight="1">
      <c r="A107" s="39">
        <v>101</v>
      </c>
      <c r="B107" s="40" t="s">
        <v>1391</v>
      </c>
      <c r="C107" s="39" t="str">
        <f>'📱 各班抽查登記表'!E108</f>
        <v/>
      </c>
      <c r="D107" s="39">
        <f>'📱 各班抽查登記表'!F108</f>
        <v>0</v>
      </c>
      <c r="E107" s="43">
        <f t="shared" si="2"/>
        <v>0</v>
      </c>
      <c r="F107" s="42" t="str">
        <f t="shared" si="3"/>
        <v></v>
      </c>
      <c r="G107" s="39"/>
      <c r="I107" s="44"/>
    </row>
    <row r="108" spans="1:9" ht="18.25" customHeight="1">
      <c r="A108" s="39">
        <v>102</v>
      </c>
      <c r="B108" s="40" t="s">
        <v>1391</v>
      </c>
      <c r="C108" s="39" t="str">
        <f>'📱 各班抽查登記表'!E109</f>
        <v/>
      </c>
      <c r="D108" s="39">
        <f>'📱 各班抽查登記表'!F109</f>
        <v>0</v>
      </c>
      <c r="E108" s="43">
        <f t="shared" si="2"/>
        <v>0</v>
      </c>
      <c r="F108" s="42" t="str">
        <f t="shared" si="3"/>
        <v></v>
      </c>
      <c r="G108" s="39"/>
      <c r="I108" s="44"/>
    </row>
    <row r="109" spans="1:9" ht="18.25" customHeight="1">
      <c r="A109" s="39">
        <v>103</v>
      </c>
      <c r="B109" s="40" t="s">
        <v>1391</v>
      </c>
      <c r="C109" s="39" t="str">
        <f>'📱 各班抽查登記表'!E110</f>
        <v/>
      </c>
      <c r="D109" s="39">
        <f>'📱 各班抽查登記表'!F110</f>
        <v>0</v>
      </c>
      <c r="E109" s="43">
        <f t="shared" si="2"/>
        <v>0</v>
      </c>
      <c r="F109" s="42" t="str">
        <f t="shared" si="3"/>
        <v></v>
      </c>
      <c r="G109" s="39"/>
      <c r="I109" s="44"/>
    </row>
    <row r="110" spans="1:9" ht="18.25" customHeight="1">
      <c r="A110" s="39">
        <v>104</v>
      </c>
      <c r="B110" s="40" t="s">
        <v>1391</v>
      </c>
      <c r="C110" s="39" t="str">
        <f>'📱 各班抽查登記表'!E111</f>
        <v/>
      </c>
      <c r="D110" s="39">
        <f>'📱 各班抽查登記表'!F111</f>
        <v>0</v>
      </c>
      <c r="E110" s="43">
        <f t="shared" si="2"/>
        <v>0</v>
      </c>
      <c r="F110" s="42" t="str">
        <f t="shared" si="3"/>
        <v></v>
      </c>
      <c r="G110" s="39"/>
      <c r="I110" s="44"/>
    </row>
    <row r="111" spans="1:9" ht="18.25" customHeight="1">
      <c r="A111" s="39">
        <v>105</v>
      </c>
      <c r="B111" s="40" t="s">
        <v>1391</v>
      </c>
      <c r="C111" s="39" t="str">
        <f>'📱 各班抽查登記表'!E112</f>
        <v/>
      </c>
      <c r="D111" s="39">
        <f>'📱 各班抽查登記表'!F112</f>
        <v>0</v>
      </c>
      <c r="E111" s="43">
        <f t="shared" si="2"/>
        <v>0</v>
      </c>
      <c r="F111" s="42" t="str">
        <f t="shared" si="3"/>
        <v></v>
      </c>
      <c r="G111" s="39"/>
      <c r="I111" s="44"/>
    </row>
    <row r="112" spans="1:9" ht="18.25" customHeight="1">
      <c r="A112" s="39">
        <v>106</v>
      </c>
      <c r="B112" s="40" t="s">
        <v>1391</v>
      </c>
      <c r="C112" s="39" t="str">
        <f>'📱 各班抽查登記表'!E113</f>
        <v/>
      </c>
      <c r="D112" s="39">
        <f>'📱 各班抽查登記表'!F113</f>
        <v>0</v>
      </c>
      <c r="E112" s="43">
        <f t="shared" si="2"/>
        <v>0</v>
      </c>
      <c r="F112" s="42" t="str">
        <f t="shared" si="3"/>
        <v></v>
      </c>
      <c r="G112" s="39"/>
      <c r="I112" s="44"/>
    </row>
    <row r="113" spans="1:9" ht="18.25" customHeight="1">
      <c r="A113" s="39">
        <v>107</v>
      </c>
      <c r="B113" s="40" t="s">
        <v>1391</v>
      </c>
      <c r="C113" s="39" t="str">
        <f>'📱 各班抽查登記表'!E114</f>
        <v/>
      </c>
      <c r="D113" s="39">
        <f>'📱 各班抽查登記表'!F114</f>
        <v>0</v>
      </c>
      <c r="E113" s="43">
        <f t="shared" si="2"/>
        <v>0</v>
      </c>
      <c r="F113" s="42" t="str">
        <f t="shared" si="3"/>
        <v></v>
      </c>
      <c r="G113" s="39"/>
      <c r="I113" s="44"/>
    </row>
    <row r="114" spans="1:9" ht="18.25" customHeight="1">
      <c r="A114" s="39">
        <v>108</v>
      </c>
      <c r="B114" s="40" t="s">
        <v>1391</v>
      </c>
      <c r="C114" s="39" t="str">
        <f>'📱 各班抽查登記表'!E115</f>
        <v/>
      </c>
      <c r="D114" s="39">
        <f>'📱 各班抽查登記表'!F115</f>
        <v>0</v>
      </c>
      <c r="E114" s="43">
        <f t="shared" si="2"/>
        <v>0</v>
      </c>
      <c r="F114" s="42" t="str">
        <f t="shared" si="3"/>
        <v></v>
      </c>
      <c r="G114" s="39"/>
      <c r="I114" s="44"/>
    </row>
    <row r="115" spans="1:9" ht="18.25" customHeight="1">
      <c r="A115" s="39">
        <v>109</v>
      </c>
      <c r="B115" s="40" t="s">
        <v>1391</v>
      </c>
      <c r="C115" s="39" t="str">
        <f>'📱 各班抽查登記表'!E116</f>
        <v/>
      </c>
      <c r="D115" s="39">
        <f>'📱 各班抽查登記表'!F116</f>
        <v>0</v>
      </c>
      <c r="E115" s="43">
        <f t="shared" si="2"/>
        <v>0</v>
      </c>
      <c r="F115" s="42" t="str">
        <f t="shared" si="3"/>
        <v></v>
      </c>
      <c r="G115" s="39"/>
      <c r="I115" s="44"/>
    </row>
    <row r="116" spans="1:9" ht="18.25" customHeight="1">
      <c r="A116" s="39">
        <v>110</v>
      </c>
      <c r="B116" s="40" t="s">
        <v>1391</v>
      </c>
      <c r="C116" s="39" t="str">
        <f>'📱 各班抽查登記表'!E117</f>
        <v/>
      </c>
      <c r="D116" s="39">
        <f>'📱 各班抽查登記表'!F117</f>
        <v>0</v>
      </c>
      <c r="E116" s="43">
        <f t="shared" si="2"/>
        <v>0</v>
      </c>
      <c r="F116" s="42" t="str">
        <f t="shared" si="3"/>
        <v></v>
      </c>
      <c r="G116" s="39"/>
      <c r="I116" s="44"/>
    </row>
    <row r="117" spans="1:9" ht="18.25" customHeight="1">
      <c r="A117" s="39">
        <v>111</v>
      </c>
      <c r="B117" s="40" t="s">
        <v>1392</v>
      </c>
      <c r="C117" s="39" t="str">
        <f>'📱 各班抽查登記表'!E118</f>
        <v/>
      </c>
      <c r="D117" s="39">
        <f>'📱 各班抽查登記表'!F118</f>
        <v>0</v>
      </c>
      <c r="E117" s="43">
        <f t="shared" si="2"/>
        <v>0</v>
      </c>
      <c r="F117" s="42" t="str">
        <f t="shared" si="3"/>
        <v></v>
      </c>
      <c r="G117" s="39"/>
      <c r="I117" s="44"/>
    </row>
    <row r="118" spans="1:9" ht="18.25" customHeight="1">
      <c r="A118" s="39">
        <v>112</v>
      </c>
      <c r="B118" s="40" t="s">
        <v>1392</v>
      </c>
      <c r="C118" s="39" t="str">
        <f>'📱 各班抽查登記表'!E119</f>
        <v/>
      </c>
      <c r="D118" s="39">
        <f>'📱 各班抽查登記表'!F119</f>
        <v>0</v>
      </c>
      <c r="E118" s="43">
        <f t="shared" si="2"/>
        <v>0</v>
      </c>
      <c r="F118" s="42" t="str">
        <f t="shared" si="3"/>
        <v></v>
      </c>
      <c r="G118" s="39"/>
      <c r="I118" s="44"/>
    </row>
    <row r="119" spans="1:9" ht="18.25" customHeight="1">
      <c r="A119" s="39">
        <v>113</v>
      </c>
      <c r="B119" s="40" t="s">
        <v>1392</v>
      </c>
      <c r="C119" s="39" t="str">
        <f>'📱 各班抽查登記表'!E120</f>
        <v/>
      </c>
      <c r="D119" s="39">
        <f>'📱 各班抽查登記表'!F120</f>
        <v>0</v>
      </c>
      <c r="E119" s="43">
        <f t="shared" si="2"/>
        <v>0</v>
      </c>
      <c r="F119" s="42" t="str">
        <f t="shared" si="3"/>
        <v></v>
      </c>
      <c r="G119" s="39"/>
      <c r="I119" s="44"/>
    </row>
    <row r="120" spans="1:9" ht="18.25" customHeight="1">
      <c r="A120" s="39">
        <v>114</v>
      </c>
      <c r="B120" s="40" t="s">
        <v>1392</v>
      </c>
      <c r="C120" s="39" t="str">
        <f>'📱 各班抽查登記表'!E121</f>
        <v/>
      </c>
      <c r="D120" s="39">
        <f>'📱 各班抽查登記表'!F121</f>
        <v>0</v>
      </c>
      <c r="E120" s="43">
        <f t="shared" si="2"/>
        <v>0</v>
      </c>
      <c r="F120" s="42" t="str">
        <f t="shared" si="3"/>
        <v></v>
      </c>
      <c r="G120" s="39"/>
      <c r="I120" s="44"/>
    </row>
    <row r="121" spans="1:9" ht="18.25" customHeight="1">
      <c r="A121" s="39">
        <v>115</v>
      </c>
      <c r="B121" s="40" t="s">
        <v>1392</v>
      </c>
      <c r="C121" s="39" t="str">
        <f>'📱 各班抽查登記表'!E122</f>
        <v/>
      </c>
      <c r="D121" s="39">
        <f>'📱 各班抽查登記表'!F122</f>
        <v>0</v>
      </c>
      <c r="E121" s="43">
        <f t="shared" si="2"/>
        <v>0</v>
      </c>
      <c r="F121" s="42" t="str">
        <f t="shared" si="3"/>
        <v></v>
      </c>
      <c r="G121" s="39"/>
      <c r="I121" s="44"/>
    </row>
    <row r="122" spans="1:9" ht="18.25" customHeight="1">
      <c r="A122" s="39">
        <v>116</v>
      </c>
      <c r="B122" s="40" t="s">
        <v>1392</v>
      </c>
      <c r="C122" s="39" t="str">
        <f>'📱 各班抽查登記表'!E123</f>
        <v/>
      </c>
      <c r="D122" s="39">
        <f>'📱 各班抽查登記表'!F123</f>
        <v>0</v>
      </c>
      <c r="E122" s="43">
        <f t="shared" si="2"/>
        <v>0</v>
      </c>
      <c r="F122" s="42" t="str">
        <f t="shared" si="3"/>
        <v></v>
      </c>
      <c r="G122" s="39"/>
      <c r="I122" s="44"/>
    </row>
    <row r="123" spans="1:9" ht="18.25" customHeight="1">
      <c r="A123" s="39">
        <v>117</v>
      </c>
      <c r="B123" s="40" t="s">
        <v>1392</v>
      </c>
      <c r="C123" s="39" t="str">
        <f>'📱 各班抽查登記表'!E124</f>
        <v/>
      </c>
      <c r="D123" s="39">
        <f>'📱 各班抽查登記表'!F124</f>
        <v>0</v>
      </c>
      <c r="E123" s="43">
        <f t="shared" si="2"/>
        <v>0</v>
      </c>
      <c r="F123" s="42" t="str">
        <f t="shared" si="3"/>
        <v></v>
      </c>
      <c r="G123" s="39"/>
      <c r="I123" s="44"/>
    </row>
    <row r="124" spans="1:9" ht="18.25" customHeight="1">
      <c r="A124" s="39">
        <v>118</v>
      </c>
      <c r="B124" s="40" t="s">
        <v>1392</v>
      </c>
      <c r="C124" s="39" t="str">
        <f>'📱 各班抽查登記表'!E125</f>
        <v/>
      </c>
      <c r="D124" s="39">
        <f>'📱 各班抽查登記表'!F125</f>
        <v>0</v>
      </c>
      <c r="E124" s="43">
        <f t="shared" si="2"/>
        <v>0</v>
      </c>
      <c r="F124" s="42" t="str">
        <f t="shared" si="3"/>
        <v></v>
      </c>
      <c r="G124" s="39"/>
      <c r="I124" s="44"/>
    </row>
    <row r="125" spans="1:9" ht="18.25" customHeight="1">
      <c r="A125" s="39">
        <v>119</v>
      </c>
      <c r="B125" s="40" t="s">
        <v>1392</v>
      </c>
      <c r="C125" s="39" t="str">
        <f>'📱 各班抽查登記表'!E126</f>
        <v/>
      </c>
      <c r="D125" s="39">
        <f>'📱 各班抽查登記表'!F126</f>
        <v>0</v>
      </c>
      <c r="E125" s="43">
        <f t="shared" si="2"/>
        <v>0</v>
      </c>
      <c r="F125" s="42" t="str">
        <f t="shared" si="3"/>
        <v></v>
      </c>
      <c r="G125" s="39"/>
      <c r="I125" s="44"/>
    </row>
    <row r="126" spans="1:9" ht="18.25" customHeight="1">
      <c r="A126" s="39">
        <v>120</v>
      </c>
      <c r="B126" s="40" t="s">
        <v>1392</v>
      </c>
      <c r="C126" s="39" t="str">
        <f>'📱 各班抽查登記表'!E127</f>
        <v/>
      </c>
      <c r="D126" s="39">
        <f>'📱 各班抽查登記表'!F127</f>
        <v>0</v>
      </c>
      <c r="E126" s="43">
        <f t="shared" si="2"/>
        <v>0</v>
      </c>
      <c r="F126" s="42" t="str">
        <f t="shared" si="3"/>
        <v></v>
      </c>
      <c r="G126" s="39"/>
      <c r="I126" s="44"/>
    </row>
    <row r="127" spans="1:9" ht="18.25" customHeight="1">
      <c r="A127" s="39">
        <v>121</v>
      </c>
      <c r="B127" s="40" t="s">
        <v>1392</v>
      </c>
      <c r="C127" s="39" t="str">
        <f>'📱 各班抽查登記表'!E128</f>
        <v/>
      </c>
      <c r="D127" s="39">
        <f>'📱 各班抽查登記表'!F128</f>
        <v>0</v>
      </c>
      <c r="E127" s="43">
        <f t="shared" si="2"/>
        <v>0</v>
      </c>
      <c r="F127" s="42" t="str">
        <f t="shared" si="3"/>
        <v></v>
      </c>
      <c r="G127" s="39"/>
      <c r="I127" s="44"/>
    </row>
    <row r="128" spans="1:9" ht="18.25" customHeight="1">
      <c r="A128" s="39">
        <v>122</v>
      </c>
      <c r="B128" s="40" t="s">
        <v>1392</v>
      </c>
      <c r="C128" s="39" t="str">
        <f>'📱 各班抽查登記表'!E129</f>
        <v/>
      </c>
      <c r="D128" s="39">
        <f>'📱 各班抽查登記表'!F129</f>
        <v>0</v>
      </c>
      <c r="E128" s="43">
        <f t="shared" si="2"/>
        <v>0</v>
      </c>
      <c r="F128" s="42" t="str">
        <f t="shared" si="3"/>
        <v></v>
      </c>
      <c r="G128" s="39"/>
      <c r="I128" s="44"/>
    </row>
    <row r="129" spans="1:9" ht="18.25" customHeight="1">
      <c r="A129" s="39">
        <v>123</v>
      </c>
      <c r="B129" s="40" t="s">
        <v>1392</v>
      </c>
      <c r="C129" s="39" t="str">
        <f>'📱 各班抽查登記表'!E130</f>
        <v/>
      </c>
      <c r="D129" s="39">
        <f>'📱 各班抽查登記表'!F130</f>
        <v>0</v>
      </c>
      <c r="E129" s="43">
        <f t="shared" si="2"/>
        <v>0</v>
      </c>
      <c r="F129" s="42" t="str">
        <f t="shared" si="3"/>
        <v></v>
      </c>
      <c r="G129" s="39"/>
      <c r="I129" s="44"/>
    </row>
    <row r="130" spans="1:9" ht="18.25" customHeight="1">
      <c r="A130" s="39">
        <v>124</v>
      </c>
      <c r="B130" s="40" t="s">
        <v>1392</v>
      </c>
      <c r="C130" s="39" t="str">
        <f>'📱 各班抽查登記表'!E131</f>
        <v/>
      </c>
      <c r="D130" s="39">
        <f>'📱 各班抽查登記表'!F131</f>
        <v>0</v>
      </c>
      <c r="E130" s="43">
        <f t="shared" si="2"/>
        <v>0</v>
      </c>
      <c r="F130" s="42" t="str">
        <f t="shared" si="3"/>
        <v></v>
      </c>
      <c r="G130" s="39"/>
      <c r="I130" s="44"/>
    </row>
    <row r="131" spans="1:9" ht="18.25" customHeight="1">
      <c r="A131" s="39">
        <v>125</v>
      </c>
      <c r="B131" s="40" t="s">
        <v>1392</v>
      </c>
      <c r="C131" s="39" t="str">
        <f>'📱 各班抽查登記表'!E132</f>
        <v/>
      </c>
      <c r="D131" s="39">
        <f>'📱 各班抽查登記表'!F132</f>
        <v>0</v>
      </c>
      <c r="E131" s="43">
        <f t="shared" si="2"/>
        <v>0</v>
      </c>
      <c r="F131" s="42" t="str">
        <f t="shared" si="3"/>
        <v></v>
      </c>
      <c r="G131" s="39"/>
      <c r="I131" s="44"/>
    </row>
    <row r="132" spans="1:9" ht="18.25" customHeight="1">
      <c r="A132" s="39">
        <v>126</v>
      </c>
      <c r="B132" s="40" t="s">
        <v>1392</v>
      </c>
      <c r="C132" s="39" t="str">
        <f>'📱 各班抽查登記表'!E133</f>
        <v/>
      </c>
      <c r="D132" s="39">
        <f>'📱 各班抽查登記表'!F133</f>
        <v>0</v>
      </c>
      <c r="E132" s="43">
        <f t="shared" si="2"/>
        <v>0</v>
      </c>
      <c r="F132" s="42" t="str">
        <f t="shared" si="3"/>
        <v></v>
      </c>
      <c r="G132" s="39"/>
      <c r="I132" s="44"/>
    </row>
    <row r="133" spans="1:9" ht="18.25" customHeight="1">
      <c r="A133" s="39">
        <v>127</v>
      </c>
      <c r="B133" s="40" t="s">
        <v>1392</v>
      </c>
      <c r="C133" s="39" t="str">
        <f>'📱 各班抽查登記表'!E134</f>
        <v/>
      </c>
      <c r="D133" s="39">
        <f>'📱 各班抽查登記表'!F134</f>
        <v>0</v>
      </c>
      <c r="E133" s="43">
        <f t="shared" si="2"/>
        <v>0</v>
      </c>
      <c r="F133" s="42" t="str">
        <f t="shared" si="3"/>
        <v></v>
      </c>
      <c r="G133" s="39"/>
      <c r="I133" s="44"/>
    </row>
    <row r="134" spans="1:9" ht="18.25" customHeight="1">
      <c r="A134" s="39">
        <v>128</v>
      </c>
      <c r="B134" s="40" t="s">
        <v>1392</v>
      </c>
      <c r="C134" s="39" t="str">
        <f>'📱 各班抽查登記表'!E135</f>
        <v/>
      </c>
      <c r="D134" s="39">
        <f>'📱 各班抽查登記表'!F135</f>
        <v>0</v>
      </c>
      <c r="E134" s="43">
        <f t="shared" si="2"/>
        <v>0</v>
      </c>
      <c r="F134" s="42" t="str">
        <f t="shared" si="3"/>
        <v></v>
      </c>
      <c r="G134" s="39"/>
      <c r="I134" s="44"/>
    </row>
    <row r="135" spans="1:9" ht="18.25" customHeight="1">
      <c r="A135" s="39">
        <v>129</v>
      </c>
      <c r="B135" s="40" t="s">
        <v>1392</v>
      </c>
      <c r="C135" s="39" t="str">
        <f>'📱 各班抽查登記表'!E136</f>
        <v/>
      </c>
      <c r="D135" s="39">
        <f>'📱 各班抽查登記表'!F136</f>
        <v>0</v>
      </c>
      <c r="E135" s="43">
        <f t="shared" si="2"/>
        <v>0</v>
      </c>
      <c r="F135" s="42" t="str">
        <f t="shared" si="3"/>
        <v></v>
      </c>
      <c r="G135" s="39"/>
      <c r="I135" s="44"/>
    </row>
    <row r="136" spans="1:9" ht="18.25" customHeight="1">
      <c r="A136" s="39">
        <v>130</v>
      </c>
      <c r="B136" s="40" t="s">
        <v>1392</v>
      </c>
      <c r="C136" s="39" t="str">
        <f>'📱 各班抽查登記表'!E137</f>
        <v/>
      </c>
      <c r="D136" s="39">
        <f>'📱 各班抽查登記表'!F137</f>
        <v>0</v>
      </c>
      <c r="E136" s="43">
        <f t="shared" si="2"/>
        <v>0</v>
      </c>
      <c r="F136" s="42" t="str">
        <f t="shared" si="3"/>
        <v></v>
      </c>
      <c r="G136" s="39"/>
      <c r="I136" s="44"/>
    </row>
    <row r="137" spans="1:9" ht="18.25" customHeight="1">
      <c r="A137" s="39">
        <v>131</v>
      </c>
      <c r="B137" s="40" t="s">
        <v>1392</v>
      </c>
      <c r="C137" s="39" t="str">
        <f>'📱 各班抽查登記表'!E138</f>
        <v/>
      </c>
      <c r="D137" s="39">
        <f>'📱 各班抽查登記表'!F138</f>
        <v>0</v>
      </c>
      <c r="E137" s="43">
        <f t="shared" si="2"/>
        <v>0</v>
      </c>
      <c r="F137" s="42" t="str">
        <f t="shared" si="3"/>
        <v></v>
      </c>
      <c r="G137" s="39"/>
      <c r="I137" s="44"/>
    </row>
    <row r="138" spans="1:9" ht="18.25" customHeight="1">
      <c r="A138" s="39">
        <v>132</v>
      </c>
      <c r="B138" s="40" t="s">
        <v>1392</v>
      </c>
      <c r="C138" s="39" t="str">
        <f>'📱 各班抽查登記表'!E139</f>
        <v/>
      </c>
      <c r="D138" s="39">
        <f>'📱 各班抽查登記表'!F139</f>
        <v>0</v>
      </c>
      <c r="E138" s="43">
        <f t="shared" si="2"/>
        <v>0</v>
      </c>
      <c r="F138" s="42" t="str">
        <f t="shared" si="3"/>
        <v></v>
      </c>
      <c r="G138" s="39"/>
      <c r="I138" s="44"/>
    </row>
    <row r="139" spans="1:9" ht="18.25" customHeight="1">
      <c r="A139" s="39">
        <v>133</v>
      </c>
      <c r="B139" s="40" t="s">
        <v>1392</v>
      </c>
      <c r="C139" s="39" t="str">
        <f>'📱 各班抽查登記表'!E140</f>
        <v/>
      </c>
      <c r="D139" s="39">
        <f>'📱 各班抽查登記表'!F140</f>
        <v>0</v>
      </c>
      <c r="E139" s="43">
        <f t="shared" si="2"/>
        <v>0</v>
      </c>
      <c r="F139" s="42" t="str">
        <f t="shared" si="3"/>
        <v></v>
      </c>
      <c r="G139" s="39"/>
      <c r="I139" s="44"/>
    </row>
    <row r="140" spans="1:9" ht="18.25" customHeight="1">
      <c r="A140" s="39">
        <v>134</v>
      </c>
      <c r="B140" s="40" t="s">
        <v>1392</v>
      </c>
      <c r="C140" s="39" t="str">
        <f>'📱 各班抽查登記表'!E141</f>
        <v/>
      </c>
      <c r="D140" s="39">
        <f>'📱 各班抽查登記表'!F141</f>
        <v>0</v>
      </c>
      <c r="E140" s="43">
        <f t="shared" si="2"/>
        <v>0</v>
      </c>
      <c r="F140" s="42" t="str">
        <f t="shared" si="3"/>
        <v></v>
      </c>
      <c r="G140" s="39"/>
      <c r="I140" s="44"/>
    </row>
    <row r="141" spans="1:9" ht="18.25" customHeight="1">
      <c r="A141" s="39">
        <v>135</v>
      </c>
      <c r="B141" s="40" t="s">
        <v>1392</v>
      </c>
      <c r="C141" s="39" t="str">
        <f>'📱 各班抽查登記表'!E142</f>
        <v/>
      </c>
      <c r="D141" s="39">
        <f>'📱 各班抽查登記表'!F142</f>
        <v>0</v>
      </c>
      <c r="E141" s="43">
        <f t="shared" si="2"/>
        <v>0</v>
      </c>
      <c r="F141" s="42" t="str">
        <f t="shared" si="3"/>
        <v></v>
      </c>
      <c r="G141" s="39"/>
      <c r="I141" s="44"/>
    </row>
    <row r="142" spans="1:9" ht="18.25" customHeight="1">
      <c r="A142" s="39">
        <v>136</v>
      </c>
      <c r="B142" s="40" t="s">
        <v>1392</v>
      </c>
      <c r="C142" s="39" t="str">
        <f>'📱 各班抽查登記表'!E143</f>
        <v/>
      </c>
      <c r="D142" s="39">
        <f>'📱 各班抽查登記表'!F143</f>
        <v>0</v>
      </c>
      <c r="E142" s="43">
        <f t="shared" si="2"/>
        <v>0</v>
      </c>
      <c r="F142" s="42" t="str">
        <f t="shared" si="3"/>
        <v></v>
      </c>
      <c r="G142" s="39"/>
      <c r="I142" s="44"/>
    </row>
    <row r="143" spans="1:9" ht="18.25" customHeight="1">
      <c r="A143" s="39">
        <v>137</v>
      </c>
      <c r="B143" s="40" t="s">
        <v>1392</v>
      </c>
      <c r="C143" s="39" t="str">
        <f>'📱 各班抽查登記表'!E144</f>
        <v/>
      </c>
      <c r="D143" s="39">
        <f>'📱 各班抽查登記表'!F144</f>
        <v>0</v>
      </c>
      <c r="E143" s="43">
        <f t="shared" si="2"/>
        <v>0</v>
      </c>
      <c r="F143" s="42" t="str">
        <f t="shared" si="3"/>
        <v></v>
      </c>
      <c r="G143" s="39"/>
      <c r="I143" s="44"/>
    </row>
    <row r="144" spans="1:9" ht="18.25" customHeight="1">
      <c r="A144" s="39">
        <v>138</v>
      </c>
      <c r="B144" s="40" t="s">
        <v>1392</v>
      </c>
      <c r="C144" s="39" t="str">
        <f>'📱 各班抽查登記表'!E145</f>
        <v/>
      </c>
      <c r="D144" s="39">
        <f>'📱 各班抽查登記表'!F145</f>
        <v>0</v>
      </c>
      <c r="E144" s="43">
        <f t="shared" si="2"/>
        <v>0</v>
      </c>
      <c r="F144" s="42" t="str">
        <f t="shared" si="3"/>
        <v></v>
      </c>
      <c r="G144" s="39"/>
      <c r="I144" s="44"/>
    </row>
    <row r="145" spans="1:9" ht="18.25" customHeight="1">
      <c r="A145" s="39">
        <v>139</v>
      </c>
      <c r="B145" s="40" t="s">
        <v>1392</v>
      </c>
      <c r="C145" s="39" t="str">
        <f>'📱 各班抽查登記表'!E146</f>
        <v/>
      </c>
      <c r="D145" s="39">
        <f>'📱 各班抽查登記表'!F146</f>
        <v>0</v>
      </c>
      <c r="E145" s="43">
        <f t="shared" si="2"/>
        <v>0</v>
      </c>
      <c r="F145" s="42" t="str">
        <f t="shared" si="3"/>
        <v></v>
      </c>
      <c r="G145" s="39"/>
      <c r="I145" s="44"/>
    </row>
    <row r="146" spans="1:9" ht="18.25" customHeight="1">
      <c r="A146" s="39">
        <v>140</v>
      </c>
      <c r="B146" s="40" t="s">
        <v>1392</v>
      </c>
      <c r="C146" s="39" t="str">
        <f>'📱 各班抽查登記表'!E147</f>
        <v/>
      </c>
      <c r="D146" s="39">
        <f>'📱 各班抽查登記表'!F147</f>
        <v>0</v>
      </c>
      <c r="E146" s="43">
        <f t="shared" si="2"/>
        <v>0</v>
      </c>
      <c r="F146" s="42" t="str">
        <f t="shared" si="3"/>
        <v></v>
      </c>
      <c r="G146" s="39"/>
      <c r="I146" s="44"/>
    </row>
    <row r="147" spans="1:9" ht="18.25" customHeight="1">
      <c r="A147" s="39">
        <v>141</v>
      </c>
      <c r="B147" s="40" t="s">
        <v>1392</v>
      </c>
      <c r="C147" s="39" t="str">
        <f>'📱 各班抽查登記表'!E148</f>
        <v/>
      </c>
      <c r="D147" s="39">
        <f>'📱 各班抽查登記表'!F148</f>
        <v>0</v>
      </c>
      <c r="E147" s="43">
        <f t="shared" ref="E147:E210" si="4">IFERROR(D147/C147,0)</f>
        <v>0</v>
      </c>
      <c r="F147" s="42" t="str">
        <f t="shared" ref="F147:F210" si="5">IF(E147&lt;=0.15,"","")</f>
        <v></v>
      </c>
      <c r="G147" s="39"/>
      <c r="I147" s="44"/>
    </row>
    <row r="148" spans="1:9" ht="18.25" customHeight="1">
      <c r="A148" s="39">
        <v>142</v>
      </c>
      <c r="B148" s="40" t="s">
        <v>1392</v>
      </c>
      <c r="C148" s="39" t="str">
        <f>'📱 各班抽查登記表'!E149</f>
        <v/>
      </c>
      <c r="D148" s="39">
        <f>'📱 各班抽查登記表'!F149</f>
        <v>0</v>
      </c>
      <c r="E148" s="43">
        <f t="shared" si="4"/>
        <v>0</v>
      </c>
      <c r="F148" s="42" t="str">
        <f t="shared" si="5"/>
        <v></v>
      </c>
      <c r="G148" s="39"/>
      <c r="I148" s="44"/>
    </row>
    <row r="149" spans="1:9" ht="18.25" customHeight="1">
      <c r="A149" s="39">
        <v>143</v>
      </c>
      <c r="B149" s="40" t="s">
        <v>1392</v>
      </c>
      <c r="C149" s="39" t="str">
        <f>'📱 各班抽查登記表'!E150</f>
        <v/>
      </c>
      <c r="D149" s="39">
        <f>'📱 各班抽查登記表'!F150</f>
        <v>0</v>
      </c>
      <c r="E149" s="43">
        <f t="shared" si="4"/>
        <v>0</v>
      </c>
      <c r="F149" s="42" t="str">
        <f t="shared" si="5"/>
        <v></v>
      </c>
      <c r="G149" s="39"/>
      <c r="I149" s="44"/>
    </row>
    <row r="150" spans="1:9" ht="18.25" customHeight="1">
      <c r="A150" s="39">
        <v>144</v>
      </c>
      <c r="B150" s="40" t="s">
        <v>1393</v>
      </c>
      <c r="C150" s="39" t="str">
        <f>'📱 各班抽查登記表'!E151</f>
        <v/>
      </c>
      <c r="D150" s="39">
        <f>'📱 各班抽查登記表'!F151</f>
        <v>0</v>
      </c>
      <c r="E150" s="43">
        <f t="shared" si="4"/>
        <v>0</v>
      </c>
      <c r="F150" s="42" t="str">
        <f t="shared" si="5"/>
        <v></v>
      </c>
      <c r="G150" s="39"/>
      <c r="I150" s="44"/>
    </row>
    <row r="151" spans="1:9" ht="18.25" customHeight="1">
      <c r="A151" s="39">
        <v>145</v>
      </c>
      <c r="B151" s="40" t="s">
        <v>1393</v>
      </c>
      <c r="C151" s="39" t="str">
        <f>'📱 各班抽查登記表'!E152</f>
        <v/>
      </c>
      <c r="D151" s="39">
        <f>'📱 各班抽查登記表'!F152</f>
        <v>0</v>
      </c>
      <c r="E151" s="43">
        <f t="shared" si="4"/>
        <v>0</v>
      </c>
      <c r="F151" s="42" t="str">
        <f t="shared" si="5"/>
        <v></v>
      </c>
      <c r="G151" s="39"/>
      <c r="I151" s="44"/>
    </row>
    <row r="152" spans="1:9" ht="18.25" customHeight="1">
      <c r="A152" s="39">
        <v>146</v>
      </c>
      <c r="B152" s="40" t="s">
        <v>1393</v>
      </c>
      <c r="C152" s="39" t="str">
        <f>'📱 各班抽查登記表'!E153</f>
        <v/>
      </c>
      <c r="D152" s="39">
        <f>'📱 各班抽查登記表'!F153</f>
        <v>0</v>
      </c>
      <c r="E152" s="43">
        <f t="shared" si="4"/>
        <v>0</v>
      </c>
      <c r="F152" s="42" t="str">
        <f t="shared" si="5"/>
        <v></v>
      </c>
      <c r="G152" s="39"/>
      <c r="I152" s="44"/>
    </row>
    <row r="153" spans="1:9" ht="18.25" customHeight="1">
      <c r="A153" s="39">
        <v>147</v>
      </c>
      <c r="B153" s="40" t="s">
        <v>1393</v>
      </c>
      <c r="C153" s="39" t="str">
        <f>'📱 各班抽查登記表'!E154</f>
        <v/>
      </c>
      <c r="D153" s="39">
        <f>'📱 各班抽查登記表'!F154</f>
        <v>0</v>
      </c>
      <c r="E153" s="43">
        <f t="shared" si="4"/>
        <v>0</v>
      </c>
      <c r="F153" s="42" t="str">
        <f t="shared" si="5"/>
        <v></v>
      </c>
      <c r="G153" s="39"/>
      <c r="I153" s="44"/>
    </row>
    <row r="154" spans="1:9" ht="18.25" customHeight="1">
      <c r="A154" s="39">
        <v>148</v>
      </c>
      <c r="B154" s="40" t="s">
        <v>1393</v>
      </c>
      <c r="C154" s="39" t="str">
        <f>'📱 各班抽查登記表'!E155</f>
        <v/>
      </c>
      <c r="D154" s="39">
        <f>'📱 各班抽查登記表'!F155</f>
        <v>0</v>
      </c>
      <c r="E154" s="43">
        <f t="shared" si="4"/>
        <v>0</v>
      </c>
      <c r="F154" s="42" t="str">
        <f t="shared" si="5"/>
        <v></v>
      </c>
      <c r="G154" s="39"/>
      <c r="I154" s="44"/>
    </row>
    <row r="155" spans="1:9" ht="18.25" customHeight="1">
      <c r="A155" s="39">
        <v>149</v>
      </c>
      <c r="B155" s="40" t="s">
        <v>1393</v>
      </c>
      <c r="C155" s="39" t="str">
        <f>'📱 各班抽查登記表'!E156</f>
        <v/>
      </c>
      <c r="D155" s="39">
        <f>'📱 各班抽查登記表'!F156</f>
        <v>0</v>
      </c>
      <c r="E155" s="43">
        <f t="shared" si="4"/>
        <v>0</v>
      </c>
      <c r="F155" s="42" t="str">
        <f t="shared" si="5"/>
        <v></v>
      </c>
      <c r="G155" s="39"/>
      <c r="I155" s="44"/>
    </row>
    <row r="156" spans="1:9" ht="18.25" customHeight="1">
      <c r="A156" s="39">
        <v>150</v>
      </c>
      <c r="B156" s="40" t="s">
        <v>1393</v>
      </c>
      <c r="C156" s="39" t="str">
        <f>'📱 各班抽查登記表'!E157</f>
        <v/>
      </c>
      <c r="D156" s="39">
        <f>'📱 各班抽查登記表'!F157</f>
        <v>0</v>
      </c>
      <c r="E156" s="43">
        <f t="shared" si="4"/>
        <v>0</v>
      </c>
      <c r="F156" s="42" t="str">
        <f t="shared" si="5"/>
        <v></v>
      </c>
      <c r="G156" s="39"/>
      <c r="I156" s="44"/>
    </row>
    <row r="157" spans="1:9" ht="18.25" customHeight="1">
      <c r="A157" s="39">
        <v>151</v>
      </c>
      <c r="B157" s="40" t="s">
        <v>1393</v>
      </c>
      <c r="C157" s="39" t="str">
        <f>'📱 各班抽查登記表'!E158</f>
        <v/>
      </c>
      <c r="D157" s="39">
        <f>'📱 各班抽查登記表'!F158</f>
        <v>0</v>
      </c>
      <c r="E157" s="43">
        <f t="shared" si="4"/>
        <v>0</v>
      </c>
      <c r="F157" s="42" t="str">
        <f t="shared" si="5"/>
        <v></v>
      </c>
      <c r="G157" s="39"/>
      <c r="I157" s="44"/>
    </row>
    <row r="158" spans="1:9" ht="18.25" customHeight="1">
      <c r="A158" s="39">
        <v>152</v>
      </c>
      <c r="B158" s="40" t="s">
        <v>1393</v>
      </c>
      <c r="C158" s="39" t="str">
        <f>'📱 各班抽查登記表'!E159</f>
        <v/>
      </c>
      <c r="D158" s="39">
        <f>'📱 各班抽查登記表'!F159</f>
        <v>0</v>
      </c>
      <c r="E158" s="43">
        <f t="shared" si="4"/>
        <v>0</v>
      </c>
      <c r="F158" s="42" t="str">
        <f t="shared" si="5"/>
        <v></v>
      </c>
      <c r="G158" s="39"/>
      <c r="I158" s="44"/>
    </row>
    <row r="159" spans="1:9" ht="18.25" customHeight="1">
      <c r="A159" s="39">
        <v>153</v>
      </c>
      <c r="B159" s="40" t="s">
        <v>1393</v>
      </c>
      <c r="C159" s="39" t="str">
        <f>'📱 各班抽查登記表'!E160</f>
        <v/>
      </c>
      <c r="D159" s="39">
        <f>'📱 各班抽查登記表'!F160</f>
        <v>0</v>
      </c>
      <c r="E159" s="43">
        <f t="shared" si="4"/>
        <v>0</v>
      </c>
      <c r="F159" s="42" t="str">
        <f t="shared" si="5"/>
        <v></v>
      </c>
      <c r="G159" s="39"/>
      <c r="I159" s="44"/>
    </row>
    <row r="160" spans="1:9" ht="18.25" customHeight="1">
      <c r="A160" s="39">
        <v>154</v>
      </c>
      <c r="B160" s="40" t="s">
        <v>1393</v>
      </c>
      <c r="C160" s="39" t="str">
        <f>'📱 各班抽查登記表'!E161</f>
        <v/>
      </c>
      <c r="D160" s="39">
        <f>'📱 各班抽查登記表'!F161</f>
        <v>0</v>
      </c>
      <c r="E160" s="43">
        <f t="shared" si="4"/>
        <v>0</v>
      </c>
      <c r="F160" s="42" t="str">
        <f t="shared" si="5"/>
        <v></v>
      </c>
      <c r="G160" s="39"/>
      <c r="I160" s="44"/>
    </row>
    <row r="161" spans="1:9" ht="18.25" customHeight="1">
      <c r="A161" s="39">
        <v>155</v>
      </c>
      <c r="B161" s="40" t="s">
        <v>1393</v>
      </c>
      <c r="C161" s="39" t="str">
        <f>'📱 各班抽查登記表'!E162</f>
        <v/>
      </c>
      <c r="D161" s="39">
        <f>'📱 各班抽查登記表'!F162</f>
        <v>0</v>
      </c>
      <c r="E161" s="43">
        <f t="shared" si="4"/>
        <v>0</v>
      </c>
      <c r="F161" s="42" t="str">
        <f t="shared" si="5"/>
        <v></v>
      </c>
      <c r="G161" s="39"/>
      <c r="I161" s="44"/>
    </row>
    <row r="162" spans="1:9" ht="18.25" customHeight="1">
      <c r="A162" s="39">
        <v>156</v>
      </c>
      <c r="B162" s="40" t="s">
        <v>1393</v>
      </c>
      <c r="C162" s="39" t="str">
        <f>'📱 各班抽查登記表'!E163</f>
        <v/>
      </c>
      <c r="D162" s="39">
        <f>'📱 各班抽查登記表'!F163</f>
        <v>0</v>
      </c>
      <c r="E162" s="43">
        <f t="shared" si="4"/>
        <v>0</v>
      </c>
      <c r="F162" s="42" t="str">
        <f t="shared" si="5"/>
        <v></v>
      </c>
      <c r="G162" s="39"/>
      <c r="I162" s="44"/>
    </row>
    <row r="163" spans="1:9" ht="18.25" customHeight="1">
      <c r="A163" s="39">
        <v>157</v>
      </c>
      <c r="B163" s="40" t="s">
        <v>1393</v>
      </c>
      <c r="C163" s="39" t="str">
        <f>'📱 各班抽查登記表'!E164</f>
        <v/>
      </c>
      <c r="D163" s="39">
        <f>'📱 各班抽查登記表'!F164</f>
        <v>0</v>
      </c>
      <c r="E163" s="43">
        <f t="shared" si="4"/>
        <v>0</v>
      </c>
      <c r="F163" s="42" t="str">
        <f t="shared" si="5"/>
        <v></v>
      </c>
      <c r="G163" s="39"/>
      <c r="I163" s="44"/>
    </row>
    <row r="164" spans="1:9" ht="18.25" customHeight="1">
      <c r="A164" s="39">
        <v>158</v>
      </c>
      <c r="B164" s="40" t="s">
        <v>1393</v>
      </c>
      <c r="C164" s="39" t="str">
        <f>'📱 各班抽查登記表'!E165</f>
        <v/>
      </c>
      <c r="D164" s="39">
        <f>'📱 各班抽查登記表'!F165</f>
        <v>0</v>
      </c>
      <c r="E164" s="43">
        <f t="shared" si="4"/>
        <v>0</v>
      </c>
      <c r="F164" s="42" t="str">
        <f t="shared" si="5"/>
        <v></v>
      </c>
      <c r="G164" s="39"/>
      <c r="I164" s="44"/>
    </row>
    <row r="165" spans="1:9" ht="18.25" customHeight="1">
      <c r="A165" s="39">
        <v>159</v>
      </c>
      <c r="B165" s="40" t="s">
        <v>1393</v>
      </c>
      <c r="C165" s="39" t="str">
        <f>'📱 各班抽查登記表'!E166</f>
        <v/>
      </c>
      <c r="D165" s="39">
        <f>'📱 各班抽查登記表'!F166</f>
        <v>0</v>
      </c>
      <c r="E165" s="43">
        <f t="shared" si="4"/>
        <v>0</v>
      </c>
      <c r="F165" s="42" t="str">
        <f t="shared" si="5"/>
        <v></v>
      </c>
      <c r="G165" s="39"/>
      <c r="I165" s="44"/>
    </row>
    <row r="166" spans="1:9" ht="18.25" customHeight="1">
      <c r="A166" s="39">
        <v>160</v>
      </c>
      <c r="B166" s="40" t="s">
        <v>1393</v>
      </c>
      <c r="C166" s="39" t="str">
        <f>'📱 各班抽查登記表'!E167</f>
        <v/>
      </c>
      <c r="D166" s="39">
        <f>'📱 各班抽查登記表'!F167</f>
        <v>0</v>
      </c>
      <c r="E166" s="43">
        <f t="shared" si="4"/>
        <v>0</v>
      </c>
      <c r="F166" s="42" t="str">
        <f t="shared" si="5"/>
        <v></v>
      </c>
      <c r="G166" s="39"/>
      <c r="I166" s="44"/>
    </row>
    <row r="167" spans="1:9" ht="18.25" customHeight="1">
      <c r="A167" s="39">
        <v>161</v>
      </c>
      <c r="B167" s="40" t="s">
        <v>1393</v>
      </c>
      <c r="C167" s="39" t="str">
        <f>'📱 各班抽查登記表'!E168</f>
        <v/>
      </c>
      <c r="D167" s="39">
        <f>'📱 各班抽查登記表'!F168</f>
        <v>0</v>
      </c>
      <c r="E167" s="43">
        <f t="shared" si="4"/>
        <v>0</v>
      </c>
      <c r="F167" s="42" t="str">
        <f t="shared" si="5"/>
        <v></v>
      </c>
      <c r="G167" s="39"/>
      <c r="I167" s="44"/>
    </row>
    <row r="168" spans="1:9" ht="18.25" customHeight="1">
      <c r="A168" s="39">
        <v>162</v>
      </c>
      <c r="B168" s="40" t="s">
        <v>1393</v>
      </c>
      <c r="C168" s="39" t="str">
        <f>'📱 各班抽查登記表'!E169</f>
        <v/>
      </c>
      <c r="D168" s="39">
        <f>'📱 各班抽查登記表'!F169</f>
        <v>0</v>
      </c>
      <c r="E168" s="43">
        <f t="shared" si="4"/>
        <v>0</v>
      </c>
      <c r="F168" s="42" t="str">
        <f t="shared" si="5"/>
        <v></v>
      </c>
      <c r="G168" s="39"/>
      <c r="I168" s="44"/>
    </row>
    <row r="169" spans="1:9" ht="18.25" customHeight="1">
      <c r="A169" s="39">
        <v>163</v>
      </c>
      <c r="B169" s="40" t="s">
        <v>1393</v>
      </c>
      <c r="C169" s="39" t="str">
        <f>'📱 各班抽查登記表'!E170</f>
        <v/>
      </c>
      <c r="D169" s="39">
        <f>'📱 各班抽查登記表'!F170</f>
        <v>0</v>
      </c>
      <c r="E169" s="43">
        <f t="shared" si="4"/>
        <v>0</v>
      </c>
      <c r="F169" s="42" t="str">
        <f t="shared" si="5"/>
        <v></v>
      </c>
      <c r="G169" s="39"/>
      <c r="I169" s="44"/>
    </row>
    <row r="170" spans="1:9" ht="18.25" customHeight="1">
      <c r="A170" s="39">
        <v>164</v>
      </c>
      <c r="B170" s="40" t="s">
        <v>1393</v>
      </c>
      <c r="C170" s="39" t="str">
        <f>'📱 各班抽查登記表'!E171</f>
        <v/>
      </c>
      <c r="D170" s="39">
        <f>'📱 各班抽查登記表'!F171</f>
        <v>0</v>
      </c>
      <c r="E170" s="43">
        <f t="shared" si="4"/>
        <v>0</v>
      </c>
      <c r="F170" s="42" t="str">
        <f t="shared" si="5"/>
        <v></v>
      </c>
      <c r="G170" s="39"/>
      <c r="I170" s="44"/>
    </row>
    <row r="171" spans="1:9" ht="18.25" customHeight="1">
      <c r="A171" s="39">
        <v>165</v>
      </c>
      <c r="B171" s="40" t="s">
        <v>1393</v>
      </c>
      <c r="C171" s="39" t="str">
        <f>'📱 各班抽查登記表'!E172</f>
        <v/>
      </c>
      <c r="D171" s="39">
        <f>'📱 各班抽查登記表'!F172</f>
        <v>0</v>
      </c>
      <c r="E171" s="43">
        <f t="shared" si="4"/>
        <v>0</v>
      </c>
      <c r="F171" s="42" t="str">
        <f t="shared" si="5"/>
        <v></v>
      </c>
      <c r="G171" s="39"/>
      <c r="I171" s="44"/>
    </row>
    <row r="172" spans="1:9" ht="18.25" customHeight="1">
      <c r="A172" s="39">
        <v>166</v>
      </c>
      <c r="B172" s="40" t="s">
        <v>1393</v>
      </c>
      <c r="C172" s="39" t="str">
        <f>'📱 各班抽查登記表'!E173</f>
        <v/>
      </c>
      <c r="D172" s="39">
        <f>'📱 各班抽查登記表'!F173</f>
        <v>0</v>
      </c>
      <c r="E172" s="43">
        <f t="shared" si="4"/>
        <v>0</v>
      </c>
      <c r="F172" s="42" t="str">
        <f t="shared" si="5"/>
        <v></v>
      </c>
      <c r="G172" s="39"/>
      <c r="I172" s="44"/>
    </row>
    <row r="173" spans="1:9" ht="18.25" customHeight="1">
      <c r="A173" s="39">
        <v>167</v>
      </c>
      <c r="B173" s="40" t="s">
        <v>1393</v>
      </c>
      <c r="C173" s="39" t="str">
        <f>'📱 各班抽查登記表'!E174</f>
        <v/>
      </c>
      <c r="D173" s="39">
        <f>'📱 各班抽查登記表'!F174</f>
        <v>0</v>
      </c>
      <c r="E173" s="43">
        <f t="shared" si="4"/>
        <v>0</v>
      </c>
      <c r="F173" s="42" t="str">
        <f t="shared" si="5"/>
        <v></v>
      </c>
      <c r="G173" s="39"/>
      <c r="I173" s="44"/>
    </row>
    <row r="174" spans="1:9" ht="18.25" customHeight="1">
      <c r="A174" s="39">
        <v>168</v>
      </c>
      <c r="B174" s="40" t="s">
        <v>1393</v>
      </c>
      <c r="C174" s="39" t="str">
        <f>'📱 各班抽查登記表'!E175</f>
        <v/>
      </c>
      <c r="D174" s="39">
        <f>'📱 各班抽查登記表'!F175</f>
        <v>0</v>
      </c>
      <c r="E174" s="43">
        <f t="shared" si="4"/>
        <v>0</v>
      </c>
      <c r="F174" s="42" t="str">
        <f t="shared" si="5"/>
        <v></v>
      </c>
      <c r="G174" s="39"/>
      <c r="I174" s="44"/>
    </row>
    <row r="175" spans="1:9" ht="18.25" customHeight="1">
      <c r="A175" s="39">
        <v>169</v>
      </c>
      <c r="B175" s="40" t="s">
        <v>1393</v>
      </c>
      <c r="C175" s="39" t="str">
        <f>'📱 各班抽查登記表'!E176</f>
        <v/>
      </c>
      <c r="D175" s="39">
        <f>'📱 各班抽查登記表'!F176</f>
        <v>0</v>
      </c>
      <c r="E175" s="43">
        <f t="shared" si="4"/>
        <v>0</v>
      </c>
      <c r="F175" s="42" t="str">
        <f t="shared" si="5"/>
        <v></v>
      </c>
      <c r="G175" s="39"/>
      <c r="I175" s="44"/>
    </row>
    <row r="176" spans="1:9" ht="18.25" customHeight="1">
      <c r="A176" s="39">
        <v>170</v>
      </c>
      <c r="B176" s="40" t="s">
        <v>1393</v>
      </c>
      <c r="C176" s="39" t="str">
        <f>'📱 各班抽查登記表'!E177</f>
        <v/>
      </c>
      <c r="D176" s="39">
        <f>'📱 各班抽查登記表'!F177</f>
        <v>0</v>
      </c>
      <c r="E176" s="43">
        <f t="shared" si="4"/>
        <v>0</v>
      </c>
      <c r="F176" s="42" t="str">
        <f t="shared" si="5"/>
        <v></v>
      </c>
      <c r="G176" s="39"/>
      <c r="I176" s="44"/>
    </row>
    <row r="177" spans="1:9" ht="18.25" customHeight="1">
      <c r="A177" s="39">
        <v>171</v>
      </c>
      <c r="B177" s="40" t="s">
        <v>1393</v>
      </c>
      <c r="C177" s="39" t="str">
        <f>'📱 各班抽查登記表'!E178</f>
        <v/>
      </c>
      <c r="D177" s="39">
        <f>'📱 各班抽查登記表'!F178</f>
        <v>0</v>
      </c>
      <c r="E177" s="43">
        <f t="shared" si="4"/>
        <v>0</v>
      </c>
      <c r="F177" s="42" t="str">
        <f t="shared" si="5"/>
        <v></v>
      </c>
      <c r="G177" s="39"/>
      <c r="I177" s="44"/>
    </row>
    <row r="178" spans="1:9" ht="18.25" customHeight="1">
      <c r="A178" s="39">
        <v>172</v>
      </c>
      <c r="B178" s="40" t="s">
        <v>1393</v>
      </c>
      <c r="C178" s="39" t="str">
        <f>'📱 各班抽查登記表'!E179</f>
        <v/>
      </c>
      <c r="D178" s="39">
        <f>'📱 各班抽查登記表'!F179</f>
        <v>0</v>
      </c>
      <c r="E178" s="43">
        <f t="shared" si="4"/>
        <v>0</v>
      </c>
      <c r="F178" s="42" t="str">
        <f t="shared" si="5"/>
        <v></v>
      </c>
      <c r="G178" s="39"/>
      <c r="I178" s="44"/>
    </row>
    <row r="179" spans="1:9" ht="18.25" customHeight="1">
      <c r="A179" s="39">
        <v>173</v>
      </c>
      <c r="B179" s="40" t="s">
        <v>1393</v>
      </c>
      <c r="C179" s="39" t="str">
        <f>'📱 各班抽查登記表'!E180</f>
        <v/>
      </c>
      <c r="D179" s="39">
        <f>'📱 各班抽查登記表'!F180</f>
        <v>0</v>
      </c>
      <c r="E179" s="43">
        <f t="shared" si="4"/>
        <v>0</v>
      </c>
      <c r="F179" s="42" t="str">
        <f t="shared" si="5"/>
        <v></v>
      </c>
      <c r="G179" s="39"/>
      <c r="I179" s="44"/>
    </row>
    <row r="180" spans="1:9" ht="18.25" customHeight="1">
      <c r="A180" s="39">
        <v>174</v>
      </c>
      <c r="B180" s="40" t="s">
        <v>1393</v>
      </c>
      <c r="C180" s="39" t="str">
        <f>'📱 各班抽查登記表'!E181</f>
        <v/>
      </c>
      <c r="D180" s="39">
        <f>'📱 各班抽查登記表'!F181</f>
        <v>0</v>
      </c>
      <c r="E180" s="43">
        <f t="shared" si="4"/>
        <v>0</v>
      </c>
      <c r="F180" s="42" t="str">
        <f t="shared" si="5"/>
        <v></v>
      </c>
      <c r="G180" s="39"/>
      <c r="I180" s="44"/>
    </row>
    <row r="181" spans="1:9" ht="18.25" customHeight="1">
      <c r="A181" s="39">
        <v>175</v>
      </c>
      <c r="B181" s="40" t="s">
        <v>1393</v>
      </c>
      <c r="C181" s="39" t="str">
        <f>'📱 各班抽查登記表'!E182</f>
        <v/>
      </c>
      <c r="D181" s="39">
        <f>'📱 各班抽查登記表'!F182</f>
        <v>0</v>
      </c>
      <c r="E181" s="43">
        <f t="shared" si="4"/>
        <v>0</v>
      </c>
      <c r="F181" s="42" t="str">
        <f t="shared" si="5"/>
        <v></v>
      </c>
      <c r="G181" s="39"/>
      <c r="I181" s="44"/>
    </row>
    <row r="182" spans="1:9" ht="18.25" customHeight="1">
      <c r="A182" s="39">
        <v>176</v>
      </c>
      <c r="B182" s="40" t="s">
        <v>1393</v>
      </c>
      <c r="C182" s="39" t="str">
        <f>'📱 各班抽查登記表'!E183</f>
        <v/>
      </c>
      <c r="D182" s="39">
        <f>'📱 各班抽查登記表'!F183</f>
        <v>0</v>
      </c>
      <c r="E182" s="43">
        <f t="shared" si="4"/>
        <v>0</v>
      </c>
      <c r="F182" s="42" t="str">
        <f t="shared" si="5"/>
        <v></v>
      </c>
      <c r="G182" s="39"/>
      <c r="I182" s="44"/>
    </row>
    <row r="183" spans="1:9" ht="18.25" customHeight="1">
      <c r="A183" s="39">
        <v>177</v>
      </c>
      <c r="B183" s="40" t="s">
        <v>1394</v>
      </c>
      <c r="C183" s="39" t="str">
        <f>'📱 各班抽查登記表'!E184</f>
        <v/>
      </c>
      <c r="D183" s="39">
        <f>'📱 各班抽查登記表'!F184</f>
        <v>0</v>
      </c>
      <c r="E183" s="43">
        <f t="shared" si="4"/>
        <v>0</v>
      </c>
      <c r="F183" s="42" t="str">
        <f t="shared" si="5"/>
        <v></v>
      </c>
      <c r="G183" s="39"/>
      <c r="I183" s="44"/>
    </row>
    <row r="184" spans="1:9" ht="18.25" customHeight="1">
      <c r="A184" s="39">
        <v>178</v>
      </c>
      <c r="B184" s="40" t="s">
        <v>1394</v>
      </c>
      <c r="C184" s="39" t="str">
        <f>'📱 各班抽查登記表'!E185</f>
        <v/>
      </c>
      <c r="D184" s="39">
        <f>'📱 各班抽查登記表'!F185</f>
        <v>0</v>
      </c>
      <c r="E184" s="43">
        <f t="shared" si="4"/>
        <v>0</v>
      </c>
      <c r="F184" s="42" t="str">
        <f t="shared" si="5"/>
        <v></v>
      </c>
      <c r="G184" s="39"/>
      <c r="I184" s="44"/>
    </row>
    <row r="185" spans="1:9" ht="18.25" customHeight="1">
      <c r="A185" s="39">
        <v>179</v>
      </c>
      <c r="B185" s="40" t="s">
        <v>1394</v>
      </c>
      <c r="C185" s="39" t="str">
        <f>'📱 各班抽查登記表'!E186</f>
        <v/>
      </c>
      <c r="D185" s="39">
        <f>'📱 各班抽查登記表'!F186</f>
        <v>0</v>
      </c>
      <c r="E185" s="43">
        <f t="shared" si="4"/>
        <v>0</v>
      </c>
      <c r="F185" s="42" t="str">
        <f t="shared" si="5"/>
        <v></v>
      </c>
      <c r="G185" s="39"/>
      <c r="I185" s="44"/>
    </row>
    <row r="186" spans="1:9" ht="18.25" customHeight="1">
      <c r="A186" s="39">
        <v>180</v>
      </c>
      <c r="B186" s="40" t="s">
        <v>1394</v>
      </c>
      <c r="C186" s="39" t="str">
        <f>'📱 各班抽查登記表'!E187</f>
        <v/>
      </c>
      <c r="D186" s="39">
        <f>'📱 各班抽查登記表'!F187</f>
        <v>0</v>
      </c>
      <c r="E186" s="43">
        <f t="shared" si="4"/>
        <v>0</v>
      </c>
      <c r="F186" s="42" t="str">
        <f t="shared" si="5"/>
        <v></v>
      </c>
      <c r="G186" s="39"/>
      <c r="I186" s="44"/>
    </row>
    <row r="187" spans="1:9" ht="18.25" customHeight="1">
      <c r="A187" s="39">
        <v>181</v>
      </c>
      <c r="B187" s="40" t="s">
        <v>1394</v>
      </c>
      <c r="C187" s="39" t="str">
        <f>'📱 各班抽查登記表'!E188</f>
        <v/>
      </c>
      <c r="D187" s="39">
        <f>'📱 各班抽查登記表'!F188</f>
        <v>0</v>
      </c>
      <c r="E187" s="43">
        <f t="shared" si="4"/>
        <v>0</v>
      </c>
      <c r="F187" s="42" t="str">
        <f t="shared" si="5"/>
        <v></v>
      </c>
      <c r="G187" s="39"/>
      <c r="I187" s="44"/>
    </row>
    <row r="188" spans="1:9" ht="18.25" customHeight="1">
      <c r="A188" s="39">
        <v>182</v>
      </c>
      <c r="B188" s="40" t="s">
        <v>1394</v>
      </c>
      <c r="C188" s="39" t="str">
        <f>'📱 各班抽查登記表'!E189</f>
        <v/>
      </c>
      <c r="D188" s="39">
        <f>'📱 各班抽查登記表'!F189</f>
        <v>0</v>
      </c>
      <c r="E188" s="43">
        <f t="shared" si="4"/>
        <v>0</v>
      </c>
      <c r="F188" s="42" t="str">
        <f t="shared" si="5"/>
        <v></v>
      </c>
      <c r="G188" s="39"/>
      <c r="I188" s="44"/>
    </row>
    <row r="189" spans="1:9" ht="18.25" customHeight="1">
      <c r="A189" s="39">
        <v>183</v>
      </c>
      <c r="B189" s="40" t="s">
        <v>1394</v>
      </c>
      <c r="C189" s="39" t="str">
        <f>'📱 各班抽查登記表'!E190</f>
        <v/>
      </c>
      <c r="D189" s="39">
        <f>'📱 各班抽查登記表'!F190</f>
        <v>0</v>
      </c>
      <c r="E189" s="43">
        <f t="shared" si="4"/>
        <v>0</v>
      </c>
      <c r="F189" s="42" t="str">
        <f t="shared" si="5"/>
        <v></v>
      </c>
      <c r="G189" s="39"/>
      <c r="I189" s="44"/>
    </row>
    <row r="190" spans="1:9" ht="18.25" customHeight="1">
      <c r="A190" s="39">
        <v>184</v>
      </c>
      <c r="B190" s="40" t="s">
        <v>1394</v>
      </c>
      <c r="C190" s="39" t="str">
        <f>'📱 各班抽查登記表'!E191</f>
        <v/>
      </c>
      <c r="D190" s="39">
        <f>'📱 各班抽查登記表'!F191</f>
        <v>0</v>
      </c>
      <c r="E190" s="43">
        <f t="shared" si="4"/>
        <v>0</v>
      </c>
      <c r="F190" s="42" t="str">
        <f t="shared" si="5"/>
        <v></v>
      </c>
      <c r="G190" s="39"/>
      <c r="I190" s="44"/>
    </row>
    <row r="191" spans="1:9" ht="18.25" customHeight="1">
      <c r="A191" s="39">
        <v>185</v>
      </c>
      <c r="B191" s="40" t="s">
        <v>1394</v>
      </c>
      <c r="C191" s="39" t="str">
        <f>'📱 各班抽查登記表'!E192</f>
        <v/>
      </c>
      <c r="D191" s="39">
        <f>'📱 各班抽查登記表'!F192</f>
        <v>0</v>
      </c>
      <c r="E191" s="43">
        <f t="shared" si="4"/>
        <v>0</v>
      </c>
      <c r="F191" s="42" t="str">
        <f t="shared" si="5"/>
        <v></v>
      </c>
      <c r="G191" s="39"/>
      <c r="I191" s="44"/>
    </row>
    <row r="192" spans="1:9" ht="18.25" customHeight="1">
      <c r="A192" s="39">
        <v>186</v>
      </c>
      <c r="B192" s="40" t="s">
        <v>1394</v>
      </c>
      <c r="C192" s="39" t="str">
        <f>'📱 各班抽查登記表'!E193</f>
        <v/>
      </c>
      <c r="D192" s="39">
        <f>'📱 各班抽查登記表'!F193</f>
        <v>0</v>
      </c>
      <c r="E192" s="43">
        <f t="shared" si="4"/>
        <v>0</v>
      </c>
      <c r="F192" s="42" t="str">
        <f t="shared" si="5"/>
        <v></v>
      </c>
      <c r="G192" s="39"/>
      <c r="I192" s="44"/>
    </row>
    <row r="193" spans="1:9" ht="18.25" customHeight="1">
      <c r="A193" s="39">
        <v>187</v>
      </c>
      <c r="B193" s="40" t="s">
        <v>1394</v>
      </c>
      <c r="C193" s="39" t="str">
        <f>'📱 各班抽查登記表'!E194</f>
        <v/>
      </c>
      <c r="D193" s="39">
        <f>'📱 各班抽查登記表'!F194</f>
        <v>0</v>
      </c>
      <c r="E193" s="43">
        <f t="shared" si="4"/>
        <v>0</v>
      </c>
      <c r="F193" s="42" t="str">
        <f t="shared" si="5"/>
        <v></v>
      </c>
      <c r="G193" s="39"/>
      <c r="I193" s="44"/>
    </row>
    <row r="194" spans="1:9" ht="18.25" customHeight="1">
      <c r="A194" s="39">
        <v>188</v>
      </c>
      <c r="B194" s="40" t="s">
        <v>1394</v>
      </c>
      <c r="C194" s="39" t="str">
        <f>'📱 各班抽查登記表'!E195</f>
        <v/>
      </c>
      <c r="D194" s="39">
        <f>'📱 各班抽查登記表'!F195</f>
        <v>0</v>
      </c>
      <c r="E194" s="43">
        <f t="shared" si="4"/>
        <v>0</v>
      </c>
      <c r="F194" s="42" t="str">
        <f t="shared" si="5"/>
        <v></v>
      </c>
      <c r="G194" s="39"/>
      <c r="I194" s="44"/>
    </row>
    <row r="195" spans="1:9" ht="18.25" customHeight="1">
      <c r="A195" s="39">
        <v>189</v>
      </c>
      <c r="B195" s="40" t="s">
        <v>1394</v>
      </c>
      <c r="C195" s="39" t="str">
        <f>'📱 各班抽查登記表'!E196</f>
        <v/>
      </c>
      <c r="D195" s="39">
        <f>'📱 各班抽查登記表'!F196</f>
        <v>0</v>
      </c>
      <c r="E195" s="43">
        <f t="shared" si="4"/>
        <v>0</v>
      </c>
      <c r="F195" s="42" t="str">
        <f t="shared" si="5"/>
        <v></v>
      </c>
      <c r="G195" s="39"/>
      <c r="I195" s="44"/>
    </row>
    <row r="196" spans="1:9" ht="18.25" customHeight="1">
      <c r="A196" s="39">
        <v>190</v>
      </c>
      <c r="B196" s="40" t="s">
        <v>1394</v>
      </c>
      <c r="C196" s="39" t="str">
        <f>'📱 各班抽查登記表'!E197</f>
        <v/>
      </c>
      <c r="D196" s="39">
        <f>'📱 各班抽查登記表'!F197</f>
        <v>0</v>
      </c>
      <c r="E196" s="43">
        <f t="shared" si="4"/>
        <v>0</v>
      </c>
      <c r="F196" s="42" t="str">
        <f t="shared" si="5"/>
        <v></v>
      </c>
      <c r="G196" s="39"/>
      <c r="I196" s="44"/>
    </row>
    <row r="197" spans="1:9" ht="18.25" customHeight="1">
      <c r="A197" s="39">
        <v>191</v>
      </c>
      <c r="B197" s="40" t="s">
        <v>1394</v>
      </c>
      <c r="C197" s="39" t="str">
        <f>'📱 各班抽查登記表'!E198</f>
        <v/>
      </c>
      <c r="D197" s="39">
        <f>'📱 各班抽查登記表'!F198</f>
        <v>0</v>
      </c>
      <c r="E197" s="43">
        <f t="shared" si="4"/>
        <v>0</v>
      </c>
      <c r="F197" s="42" t="str">
        <f t="shared" si="5"/>
        <v></v>
      </c>
      <c r="G197" s="39"/>
      <c r="I197" s="44"/>
    </row>
    <row r="198" spans="1:9" ht="18.25" customHeight="1">
      <c r="A198" s="39">
        <v>192</v>
      </c>
      <c r="B198" s="40" t="s">
        <v>1394</v>
      </c>
      <c r="C198" s="39" t="str">
        <f>'📱 各班抽查登記表'!E199</f>
        <v/>
      </c>
      <c r="D198" s="39">
        <f>'📱 各班抽查登記表'!F199</f>
        <v>0</v>
      </c>
      <c r="E198" s="43">
        <f t="shared" si="4"/>
        <v>0</v>
      </c>
      <c r="F198" s="42" t="str">
        <f t="shared" si="5"/>
        <v></v>
      </c>
      <c r="G198" s="39"/>
      <c r="I198" s="44"/>
    </row>
    <row r="199" spans="1:9" ht="18.25" customHeight="1">
      <c r="A199" s="39">
        <v>193</v>
      </c>
      <c r="B199" s="40" t="s">
        <v>1394</v>
      </c>
      <c r="C199" s="39" t="str">
        <f>'📱 各班抽查登記表'!E200</f>
        <v/>
      </c>
      <c r="D199" s="39">
        <f>'📱 各班抽查登記表'!F200</f>
        <v>0</v>
      </c>
      <c r="E199" s="43">
        <f t="shared" si="4"/>
        <v>0</v>
      </c>
      <c r="F199" s="42" t="str">
        <f t="shared" si="5"/>
        <v></v>
      </c>
      <c r="G199" s="39"/>
      <c r="I199" s="44"/>
    </row>
    <row r="200" spans="1:9" ht="18.25" customHeight="1">
      <c r="A200" s="39">
        <v>194</v>
      </c>
      <c r="B200" s="40" t="s">
        <v>1394</v>
      </c>
      <c r="C200" s="39" t="str">
        <f>'📱 各班抽查登記表'!E201</f>
        <v/>
      </c>
      <c r="D200" s="39">
        <f>'📱 各班抽查登記表'!F201</f>
        <v>0</v>
      </c>
      <c r="E200" s="43">
        <f t="shared" si="4"/>
        <v>0</v>
      </c>
      <c r="F200" s="42" t="str">
        <f t="shared" si="5"/>
        <v></v>
      </c>
      <c r="G200" s="39"/>
      <c r="I200" s="44"/>
    </row>
    <row r="201" spans="1:9" ht="18.25" customHeight="1">
      <c r="A201" s="39">
        <v>195</v>
      </c>
      <c r="B201" s="40" t="s">
        <v>1394</v>
      </c>
      <c r="C201" s="39" t="str">
        <f>'📱 各班抽查登記表'!E202</f>
        <v/>
      </c>
      <c r="D201" s="39">
        <f>'📱 各班抽查登記表'!F202</f>
        <v>0</v>
      </c>
      <c r="E201" s="43">
        <f t="shared" si="4"/>
        <v>0</v>
      </c>
      <c r="F201" s="42" t="str">
        <f t="shared" si="5"/>
        <v></v>
      </c>
      <c r="G201" s="39"/>
      <c r="I201" s="44"/>
    </row>
    <row r="202" spans="1:9" ht="18.25" customHeight="1">
      <c r="A202" s="39">
        <v>196</v>
      </c>
      <c r="B202" s="40" t="s">
        <v>1394</v>
      </c>
      <c r="C202" s="39" t="str">
        <f>'📱 各班抽查登記表'!E203</f>
        <v/>
      </c>
      <c r="D202" s="39">
        <f>'📱 各班抽查登記表'!F203</f>
        <v>0</v>
      </c>
      <c r="E202" s="43">
        <f t="shared" si="4"/>
        <v>0</v>
      </c>
      <c r="F202" s="42" t="str">
        <f t="shared" si="5"/>
        <v></v>
      </c>
      <c r="G202" s="39"/>
      <c r="I202" s="44"/>
    </row>
    <row r="203" spans="1:9" ht="18.25" customHeight="1">
      <c r="A203" s="39">
        <v>197</v>
      </c>
      <c r="B203" s="40" t="s">
        <v>1394</v>
      </c>
      <c r="C203" s="39" t="str">
        <f>'📱 各班抽查登記表'!E204</f>
        <v/>
      </c>
      <c r="D203" s="39">
        <f>'📱 各班抽查登記表'!F204</f>
        <v>0</v>
      </c>
      <c r="E203" s="43">
        <f t="shared" si="4"/>
        <v>0</v>
      </c>
      <c r="F203" s="42" t="str">
        <f t="shared" si="5"/>
        <v></v>
      </c>
      <c r="G203" s="39"/>
      <c r="I203" s="44"/>
    </row>
    <row r="204" spans="1:9" ht="18.25" customHeight="1">
      <c r="A204" s="39">
        <v>198</v>
      </c>
      <c r="B204" s="40" t="s">
        <v>1394</v>
      </c>
      <c r="C204" s="39" t="str">
        <f>'📱 各班抽查登記表'!E205</f>
        <v/>
      </c>
      <c r="D204" s="39">
        <f>'📱 各班抽查登記表'!F205</f>
        <v>0</v>
      </c>
      <c r="E204" s="43">
        <f t="shared" si="4"/>
        <v>0</v>
      </c>
      <c r="F204" s="42" t="str">
        <f t="shared" si="5"/>
        <v></v>
      </c>
      <c r="G204" s="39"/>
      <c r="I204" s="44"/>
    </row>
    <row r="205" spans="1:9" ht="18.25" customHeight="1">
      <c r="A205" s="39">
        <v>199</v>
      </c>
      <c r="B205" s="40" t="s">
        <v>1394</v>
      </c>
      <c r="C205" s="39" t="str">
        <f>'📱 各班抽查登記表'!E206</f>
        <v/>
      </c>
      <c r="D205" s="39">
        <f>'📱 各班抽查登記表'!F206</f>
        <v>0</v>
      </c>
      <c r="E205" s="43">
        <f t="shared" si="4"/>
        <v>0</v>
      </c>
      <c r="F205" s="42" t="str">
        <f t="shared" si="5"/>
        <v></v>
      </c>
      <c r="G205" s="39"/>
      <c r="I205" s="44"/>
    </row>
    <row r="206" spans="1:9" ht="18.25" customHeight="1">
      <c r="A206" s="39">
        <v>200</v>
      </c>
      <c r="B206" s="40" t="s">
        <v>1394</v>
      </c>
      <c r="C206" s="39" t="str">
        <f>'📱 各班抽查登記表'!E207</f>
        <v/>
      </c>
      <c r="D206" s="39">
        <f>'📱 各班抽查登記表'!F207</f>
        <v>0</v>
      </c>
      <c r="E206" s="43">
        <f t="shared" si="4"/>
        <v>0</v>
      </c>
      <c r="F206" s="42" t="str">
        <f t="shared" si="5"/>
        <v></v>
      </c>
      <c r="G206" s="39"/>
      <c r="I206" s="44"/>
    </row>
    <row r="207" spans="1:9" ht="18.25" customHeight="1">
      <c r="A207" s="39">
        <v>201</v>
      </c>
      <c r="B207" s="40" t="s">
        <v>1394</v>
      </c>
      <c r="C207" s="39" t="str">
        <f>'📱 各班抽查登記表'!E208</f>
        <v/>
      </c>
      <c r="D207" s="39">
        <f>'📱 各班抽查登記表'!F208</f>
        <v>0</v>
      </c>
      <c r="E207" s="43">
        <f t="shared" si="4"/>
        <v>0</v>
      </c>
      <c r="F207" s="42" t="str">
        <f t="shared" si="5"/>
        <v></v>
      </c>
      <c r="G207" s="39"/>
      <c r="I207" s="44"/>
    </row>
    <row r="208" spans="1:9" ht="18.25" customHeight="1">
      <c r="A208" s="39">
        <v>202</v>
      </c>
      <c r="B208" s="40" t="s">
        <v>1394</v>
      </c>
      <c r="C208" s="39" t="str">
        <f>'📱 各班抽查登記表'!E209</f>
        <v/>
      </c>
      <c r="D208" s="39">
        <f>'📱 各班抽查登記表'!F209</f>
        <v>0</v>
      </c>
      <c r="E208" s="43">
        <f t="shared" si="4"/>
        <v>0</v>
      </c>
      <c r="F208" s="42" t="str">
        <f t="shared" si="5"/>
        <v></v>
      </c>
      <c r="G208" s="39"/>
      <c r="I208" s="44"/>
    </row>
    <row r="209" spans="1:9" ht="18.25" customHeight="1">
      <c r="A209" s="39">
        <v>203</v>
      </c>
      <c r="B209" s="40" t="s">
        <v>1394</v>
      </c>
      <c r="C209" s="39" t="str">
        <f>'📱 各班抽查登記表'!E210</f>
        <v/>
      </c>
      <c r="D209" s="39">
        <f>'📱 各班抽查登記表'!F210</f>
        <v>0</v>
      </c>
      <c r="E209" s="43">
        <f t="shared" si="4"/>
        <v>0</v>
      </c>
      <c r="F209" s="42" t="str">
        <f t="shared" si="5"/>
        <v></v>
      </c>
      <c r="G209" s="39"/>
      <c r="I209" s="44"/>
    </row>
    <row r="210" spans="1:9" ht="18.25" customHeight="1">
      <c r="A210" s="39">
        <v>204</v>
      </c>
      <c r="B210" s="40" t="s">
        <v>1394</v>
      </c>
      <c r="C210" s="39" t="str">
        <f>'📱 各班抽查登記表'!E211</f>
        <v/>
      </c>
      <c r="D210" s="39">
        <f>'📱 各班抽查登記表'!F211</f>
        <v>0</v>
      </c>
      <c r="E210" s="43">
        <f t="shared" si="4"/>
        <v>0</v>
      </c>
      <c r="F210" s="42" t="str">
        <f t="shared" si="5"/>
        <v></v>
      </c>
      <c r="G210" s="39"/>
      <c r="I210" s="44"/>
    </row>
    <row r="211" spans="1:9" ht="18.25" customHeight="1">
      <c r="A211" s="39">
        <v>205</v>
      </c>
      <c r="B211" s="40" t="s">
        <v>1394</v>
      </c>
      <c r="C211" s="39" t="str">
        <f>'📱 各班抽查登記表'!E212</f>
        <v/>
      </c>
      <c r="D211" s="39">
        <f>'📱 各班抽查登記表'!F212</f>
        <v>0</v>
      </c>
      <c r="E211" s="43">
        <f t="shared" ref="E211:E274" si="6">IFERROR(D211/C211,0)</f>
        <v>0</v>
      </c>
      <c r="F211" s="42" t="str">
        <f t="shared" ref="F211:F274" si="7">IF(E211&lt;=0.15,"","")</f>
        <v></v>
      </c>
      <c r="G211" s="39"/>
      <c r="I211" s="44"/>
    </row>
    <row r="212" spans="1:9" ht="18.25" customHeight="1">
      <c r="A212" s="39">
        <v>206</v>
      </c>
      <c r="B212" s="40" t="s">
        <v>1394</v>
      </c>
      <c r="C212" s="39" t="str">
        <f>'📱 各班抽查登記表'!E213</f>
        <v/>
      </c>
      <c r="D212" s="39">
        <f>'📱 各班抽查登記表'!F213</f>
        <v>0</v>
      </c>
      <c r="E212" s="43">
        <f t="shared" si="6"/>
        <v>0</v>
      </c>
      <c r="F212" s="42" t="str">
        <f t="shared" si="7"/>
        <v></v>
      </c>
      <c r="G212" s="39"/>
      <c r="I212" s="44"/>
    </row>
    <row r="213" spans="1:9" ht="18.25" customHeight="1">
      <c r="A213" s="39">
        <v>207</v>
      </c>
      <c r="B213" s="40" t="s">
        <v>1394</v>
      </c>
      <c r="C213" s="39" t="str">
        <f>'📱 各班抽查登記表'!E214</f>
        <v/>
      </c>
      <c r="D213" s="39">
        <f>'📱 各班抽查登記表'!F214</f>
        <v>0</v>
      </c>
      <c r="E213" s="43">
        <f t="shared" si="6"/>
        <v>0</v>
      </c>
      <c r="F213" s="42" t="str">
        <f t="shared" si="7"/>
        <v></v>
      </c>
      <c r="G213" s="39"/>
      <c r="I213" s="44"/>
    </row>
    <row r="214" spans="1:9" ht="18.25" customHeight="1">
      <c r="A214" s="39">
        <v>208</v>
      </c>
      <c r="B214" s="40" t="s">
        <v>1394</v>
      </c>
      <c r="C214" s="39" t="str">
        <f>'📱 各班抽查登記表'!E215</f>
        <v/>
      </c>
      <c r="D214" s="39">
        <f>'📱 各班抽查登記表'!F215</f>
        <v>0</v>
      </c>
      <c r="E214" s="43">
        <f t="shared" si="6"/>
        <v>0</v>
      </c>
      <c r="F214" s="42" t="str">
        <f t="shared" si="7"/>
        <v></v>
      </c>
      <c r="G214" s="39"/>
      <c r="I214" s="44"/>
    </row>
    <row r="215" spans="1:9" ht="18.25" customHeight="1">
      <c r="A215" s="39">
        <v>209</v>
      </c>
      <c r="B215" s="40" t="s">
        <v>1394</v>
      </c>
      <c r="C215" s="39" t="str">
        <f>'📱 各班抽查登記表'!E216</f>
        <v/>
      </c>
      <c r="D215" s="39">
        <f>'📱 各班抽查登記表'!F216</f>
        <v>0</v>
      </c>
      <c r="E215" s="43">
        <f t="shared" si="6"/>
        <v>0</v>
      </c>
      <c r="F215" s="42" t="str">
        <f t="shared" si="7"/>
        <v></v>
      </c>
      <c r="G215" s="39"/>
      <c r="I215" s="44"/>
    </row>
    <row r="216" spans="1:9" ht="18.25" customHeight="1">
      <c r="A216" s="39">
        <v>210</v>
      </c>
      <c r="B216" s="40" t="s">
        <v>1394</v>
      </c>
      <c r="C216" s="39" t="str">
        <f>'📱 各班抽查登記表'!E217</f>
        <v/>
      </c>
      <c r="D216" s="39">
        <f>'📱 各班抽查登記表'!F217</f>
        <v>0</v>
      </c>
      <c r="E216" s="43">
        <f t="shared" si="6"/>
        <v>0</v>
      </c>
      <c r="F216" s="42" t="str">
        <f t="shared" si="7"/>
        <v></v>
      </c>
      <c r="G216" s="39"/>
      <c r="I216" s="44"/>
    </row>
    <row r="217" spans="1:9" ht="18.25" customHeight="1">
      <c r="A217" s="39">
        <v>211</v>
      </c>
      <c r="B217" s="40" t="s">
        <v>1394</v>
      </c>
      <c r="C217" s="39" t="str">
        <f>'📱 各班抽查登記表'!E218</f>
        <v/>
      </c>
      <c r="D217" s="39">
        <f>'📱 各班抽查登記表'!F218</f>
        <v>0</v>
      </c>
      <c r="E217" s="43">
        <f t="shared" si="6"/>
        <v>0</v>
      </c>
      <c r="F217" s="42" t="str">
        <f t="shared" si="7"/>
        <v></v>
      </c>
      <c r="G217" s="39"/>
      <c r="I217" s="44"/>
    </row>
    <row r="218" spans="1:9" ht="18.25" customHeight="1">
      <c r="A218" s="39">
        <v>212</v>
      </c>
      <c r="B218" s="40" t="s">
        <v>1394</v>
      </c>
      <c r="C218" s="39" t="str">
        <f>'📱 各班抽查登記表'!E219</f>
        <v/>
      </c>
      <c r="D218" s="39">
        <f>'📱 各班抽查登記表'!F219</f>
        <v>0</v>
      </c>
      <c r="E218" s="43">
        <f t="shared" si="6"/>
        <v>0</v>
      </c>
      <c r="F218" s="42" t="str">
        <f t="shared" si="7"/>
        <v></v>
      </c>
      <c r="G218" s="39"/>
      <c r="I218" s="44"/>
    </row>
    <row r="219" spans="1:9" ht="18.25" customHeight="1">
      <c r="A219" s="39">
        <v>213</v>
      </c>
      <c r="B219" s="40" t="s">
        <v>1394</v>
      </c>
      <c r="C219" s="39" t="str">
        <f>'📱 各班抽查登記表'!E220</f>
        <v/>
      </c>
      <c r="D219" s="39">
        <f>'📱 各班抽查登記表'!F220</f>
        <v>0</v>
      </c>
      <c r="E219" s="43">
        <f t="shared" si="6"/>
        <v>0</v>
      </c>
      <c r="F219" s="42" t="str">
        <f t="shared" si="7"/>
        <v></v>
      </c>
      <c r="G219" s="39"/>
      <c r="I219" s="44"/>
    </row>
    <row r="220" spans="1:9" ht="18.25" customHeight="1">
      <c r="A220" s="39">
        <v>214</v>
      </c>
      <c r="B220" s="40" t="s">
        <v>1394</v>
      </c>
      <c r="C220" s="39" t="str">
        <f>'📱 各班抽查登記表'!E221</f>
        <v/>
      </c>
      <c r="D220" s="39">
        <f>'📱 各班抽查登記表'!F221</f>
        <v>0</v>
      </c>
      <c r="E220" s="43">
        <f t="shared" si="6"/>
        <v>0</v>
      </c>
      <c r="F220" s="42" t="str">
        <f t="shared" si="7"/>
        <v></v>
      </c>
      <c r="G220" s="39"/>
      <c r="I220" s="44"/>
    </row>
    <row r="221" spans="1:9" ht="18.25" customHeight="1">
      <c r="A221" s="39">
        <v>215</v>
      </c>
      <c r="B221" s="40" t="s">
        <v>1394</v>
      </c>
      <c r="C221" s="39" t="str">
        <f>'📱 各班抽查登記表'!E222</f>
        <v/>
      </c>
      <c r="D221" s="39">
        <f>'📱 各班抽查登記表'!F222</f>
        <v>0</v>
      </c>
      <c r="E221" s="43">
        <f t="shared" si="6"/>
        <v>0</v>
      </c>
      <c r="F221" s="42" t="str">
        <f t="shared" si="7"/>
        <v></v>
      </c>
      <c r="G221" s="39"/>
      <c r="I221" s="44"/>
    </row>
    <row r="222" spans="1:9" ht="18.25" customHeight="1">
      <c r="A222" s="39">
        <v>216</v>
      </c>
      <c r="B222" s="40" t="s">
        <v>1394</v>
      </c>
      <c r="C222" s="39" t="str">
        <f>'📱 各班抽查登記表'!E223</f>
        <v/>
      </c>
      <c r="D222" s="39">
        <f>'📱 各班抽查登記表'!F223</f>
        <v>0</v>
      </c>
      <c r="E222" s="43">
        <f t="shared" si="6"/>
        <v>0</v>
      </c>
      <c r="F222" s="42" t="str">
        <f t="shared" si="7"/>
        <v></v>
      </c>
      <c r="G222" s="39"/>
      <c r="I222" s="44"/>
    </row>
    <row r="223" spans="1:9" ht="18.25" customHeight="1">
      <c r="A223" s="39">
        <v>217</v>
      </c>
      <c r="B223" s="40" t="s">
        <v>1394</v>
      </c>
      <c r="C223" s="39" t="str">
        <f>'📱 各班抽查登記表'!E224</f>
        <v/>
      </c>
      <c r="D223" s="39">
        <f>'📱 各班抽查登記表'!F224</f>
        <v>0</v>
      </c>
      <c r="E223" s="43">
        <f t="shared" si="6"/>
        <v>0</v>
      </c>
      <c r="F223" s="42" t="str">
        <f t="shared" si="7"/>
        <v></v>
      </c>
      <c r="G223" s="39"/>
      <c r="I223" s="44"/>
    </row>
    <row r="224" spans="1:9" ht="18.25" customHeight="1">
      <c r="A224" s="39">
        <v>218</v>
      </c>
      <c r="B224" s="40" t="s">
        <v>1394</v>
      </c>
      <c r="C224" s="39" t="str">
        <f>'📱 各班抽查登記表'!E225</f>
        <v/>
      </c>
      <c r="D224" s="39">
        <f>'📱 各班抽查登記表'!F225</f>
        <v>0</v>
      </c>
      <c r="E224" s="43">
        <f t="shared" si="6"/>
        <v>0</v>
      </c>
      <c r="F224" s="42" t="str">
        <f t="shared" si="7"/>
        <v></v>
      </c>
      <c r="G224" s="39"/>
      <c r="I224" s="44"/>
    </row>
    <row r="225" spans="1:9" ht="18.25" customHeight="1">
      <c r="A225" s="39">
        <v>219</v>
      </c>
      <c r="B225" s="40" t="s">
        <v>1394</v>
      </c>
      <c r="C225" s="39" t="str">
        <f>'📱 各班抽查登記表'!E226</f>
        <v/>
      </c>
      <c r="D225" s="39">
        <f>'📱 各班抽查登記表'!F226</f>
        <v>0</v>
      </c>
      <c r="E225" s="43">
        <f t="shared" si="6"/>
        <v>0</v>
      </c>
      <c r="F225" s="42" t="str">
        <f t="shared" si="7"/>
        <v></v>
      </c>
      <c r="G225" s="39"/>
      <c r="I225" s="44"/>
    </row>
    <row r="226" spans="1:9" ht="18.25" customHeight="1">
      <c r="A226" s="39">
        <v>220</v>
      </c>
      <c r="B226" s="40" t="s">
        <v>1394</v>
      </c>
      <c r="C226" s="39" t="str">
        <f>'📱 各班抽查登記表'!E227</f>
        <v/>
      </c>
      <c r="D226" s="39">
        <f>'📱 各班抽查登記表'!F227</f>
        <v>0</v>
      </c>
      <c r="E226" s="43">
        <f t="shared" si="6"/>
        <v>0</v>
      </c>
      <c r="F226" s="42" t="str">
        <f t="shared" si="7"/>
        <v></v>
      </c>
      <c r="G226" s="39"/>
      <c r="I226" s="44"/>
    </row>
    <row r="227" spans="1:9" ht="18.25" customHeight="1">
      <c r="A227" s="39">
        <v>221</v>
      </c>
      <c r="B227" s="40"/>
      <c r="C227" s="39"/>
      <c r="D227" s="39"/>
      <c r="E227" s="43">
        <f t="shared" si="6"/>
        <v>0</v>
      </c>
      <c r="F227" s="42" t="str">
        <f t="shared" si="7"/>
        <v></v>
      </c>
      <c r="G227" s="39"/>
      <c r="I227" s="44"/>
    </row>
    <row r="228" spans="1:9" ht="18.25" customHeight="1">
      <c r="A228" s="39">
        <v>222</v>
      </c>
      <c r="B228" s="40"/>
      <c r="C228" s="39"/>
      <c r="D228" s="39"/>
      <c r="E228" s="43">
        <f t="shared" si="6"/>
        <v>0</v>
      </c>
      <c r="F228" s="42" t="str">
        <f t="shared" si="7"/>
        <v></v>
      </c>
      <c r="G228" s="39"/>
      <c r="I228" s="44"/>
    </row>
    <row r="229" spans="1:9" ht="18.25" customHeight="1">
      <c r="A229" s="39">
        <v>223</v>
      </c>
      <c r="B229" s="40"/>
      <c r="C229" s="39"/>
      <c r="D229" s="39"/>
      <c r="E229" s="43">
        <f t="shared" si="6"/>
        <v>0</v>
      </c>
      <c r="F229" s="42" t="str">
        <f t="shared" si="7"/>
        <v></v>
      </c>
      <c r="G229" s="39"/>
      <c r="I229" s="44"/>
    </row>
    <row r="230" spans="1:9" ht="18.25" customHeight="1">
      <c r="A230" s="39">
        <v>224</v>
      </c>
      <c r="B230" s="40"/>
      <c r="C230" s="39"/>
      <c r="D230" s="39"/>
      <c r="E230" s="43">
        <f t="shared" si="6"/>
        <v>0</v>
      </c>
      <c r="F230" s="42" t="str">
        <f t="shared" si="7"/>
        <v></v>
      </c>
      <c r="G230" s="39"/>
      <c r="I230" s="44"/>
    </row>
    <row r="231" spans="1:9" ht="18.25" customHeight="1">
      <c r="A231" s="39">
        <v>225</v>
      </c>
      <c r="B231" s="40"/>
      <c r="C231" s="39"/>
      <c r="D231" s="39"/>
      <c r="E231" s="43">
        <f t="shared" si="6"/>
        <v>0</v>
      </c>
      <c r="F231" s="42" t="str">
        <f t="shared" si="7"/>
        <v></v>
      </c>
      <c r="G231" s="39"/>
      <c r="I231" s="44"/>
    </row>
    <row r="232" spans="1:9" ht="18.25" customHeight="1">
      <c r="A232" s="39">
        <v>226</v>
      </c>
      <c r="B232" s="40"/>
      <c r="C232" s="39"/>
      <c r="D232" s="39"/>
      <c r="E232" s="43">
        <f t="shared" si="6"/>
        <v>0</v>
      </c>
      <c r="F232" s="42" t="str">
        <f t="shared" si="7"/>
        <v></v>
      </c>
      <c r="G232" s="39"/>
      <c r="I232" s="44"/>
    </row>
    <row r="233" spans="1:9" ht="18.25" customHeight="1">
      <c r="A233" s="39">
        <v>227</v>
      </c>
      <c r="B233" s="40"/>
      <c r="C233" s="39"/>
      <c r="D233" s="39"/>
      <c r="E233" s="43">
        <f t="shared" si="6"/>
        <v>0</v>
      </c>
      <c r="F233" s="42" t="str">
        <f t="shared" si="7"/>
        <v></v>
      </c>
      <c r="G233" s="39"/>
      <c r="I233" s="44"/>
    </row>
    <row r="234" spans="1:9" ht="18.25" customHeight="1">
      <c r="A234" s="39">
        <v>228</v>
      </c>
      <c r="B234" s="40"/>
      <c r="C234" s="39"/>
      <c r="D234" s="39"/>
      <c r="E234" s="43">
        <f t="shared" si="6"/>
        <v>0</v>
      </c>
      <c r="F234" s="42" t="str">
        <f t="shared" si="7"/>
        <v></v>
      </c>
      <c r="G234" s="39"/>
      <c r="I234" s="44"/>
    </row>
    <row r="235" spans="1:9" ht="18.25" customHeight="1">
      <c r="A235" s="39">
        <v>229</v>
      </c>
      <c r="B235" s="40"/>
      <c r="C235" s="39"/>
      <c r="D235" s="39"/>
      <c r="E235" s="43">
        <f t="shared" si="6"/>
        <v>0</v>
      </c>
      <c r="F235" s="42" t="str">
        <f t="shared" si="7"/>
        <v></v>
      </c>
      <c r="G235" s="39"/>
      <c r="I235" s="44"/>
    </row>
    <row r="236" spans="1:9" ht="18.25" customHeight="1">
      <c r="A236" s="39">
        <v>230</v>
      </c>
      <c r="B236" s="40"/>
      <c r="C236" s="39"/>
      <c r="D236" s="39"/>
      <c r="E236" s="43">
        <f t="shared" si="6"/>
        <v>0</v>
      </c>
      <c r="F236" s="42" t="str">
        <f t="shared" si="7"/>
        <v></v>
      </c>
      <c r="G236" s="39"/>
      <c r="I236" s="44"/>
    </row>
    <row r="237" spans="1:9" ht="18.25" customHeight="1">
      <c r="A237" s="39">
        <v>231</v>
      </c>
      <c r="B237" s="40"/>
      <c r="C237" s="39"/>
      <c r="D237" s="39"/>
      <c r="E237" s="43">
        <f t="shared" si="6"/>
        <v>0</v>
      </c>
      <c r="F237" s="42" t="str">
        <f t="shared" si="7"/>
        <v></v>
      </c>
      <c r="G237" s="39"/>
      <c r="I237" s="44"/>
    </row>
    <row r="238" spans="1:9" ht="18.25" customHeight="1">
      <c r="A238" s="39">
        <v>232</v>
      </c>
      <c r="B238" s="40"/>
      <c r="C238" s="39"/>
      <c r="D238" s="39"/>
      <c r="E238" s="43">
        <f t="shared" si="6"/>
        <v>0</v>
      </c>
      <c r="F238" s="42" t="str">
        <f t="shared" si="7"/>
        <v></v>
      </c>
      <c r="G238" s="39"/>
      <c r="I238" s="44"/>
    </row>
    <row r="239" spans="1:9" ht="18.25" customHeight="1">
      <c r="A239" s="39">
        <v>233</v>
      </c>
      <c r="B239" s="40"/>
      <c r="C239" s="39"/>
      <c r="D239" s="39"/>
      <c r="E239" s="43">
        <f t="shared" si="6"/>
        <v>0</v>
      </c>
      <c r="F239" s="42" t="str">
        <f t="shared" si="7"/>
        <v></v>
      </c>
      <c r="G239" s="39"/>
      <c r="I239" s="44"/>
    </row>
    <row r="240" spans="1:9" ht="18.25" customHeight="1">
      <c r="A240" s="39">
        <v>234</v>
      </c>
      <c r="B240" s="40"/>
      <c r="C240" s="39"/>
      <c r="D240" s="39"/>
      <c r="E240" s="43">
        <f t="shared" si="6"/>
        <v>0</v>
      </c>
      <c r="F240" s="42" t="str">
        <f t="shared" si="7"/>
        <v></v>
      </c>
      <c r="G240" s="39"/>
      <c r="I240" s="44"/>
    </row>
    <row r="241" spans="1:9" ht="18.25" customHeight="1">
      <c r="A241" s="39">
        <v>235</v>
      </c>
      <c r="B241" s="40"/>
      <c r="C241" s="39"/>
      <c r="D241" s="39"/>
      <c r="E241" s="43">
        <f t="shared" si="6"/>
        <v>0</v>
      </c>
      <c r="F241" s="42" t="str">
        <f t="shared" si="7"/>
        <v></v>
      </c>
      <c r="G241" s="39"/>
      <c r="I241" s="44"/>
    </row>
    <row r="242" spans="1:9" ht="18.25" customHeight="1">
      <c r="A242" s="39">
        <v>236</v>
      </c>
      <c r="B242" s="40"/>
      <c r="C242" s="39"/>
      <c r="D242" s="39"/>
      <c r="E242" s="43">
        <f t="shared" si="6"/>
        <v>0</v>
      </c>
      <c r="F242" s="42" t="str">
        <f t="shared" si="7"/>
        <v></v>
      </c>
      <c r="G242" s="39"/>
      <c r="I242" s="44"/>
    </row>
    <row r="243" spans="1:9" ht="18.25" customHeight="1">
      <c r="A243" s="39">
        <v>237</v>
      </c>
      <c r="B243" s="40"/>
      <c r="C243" s="39"/>
      <c r="D243" s="39"/>
      <c r="E243" s="43">
        <f t="shared" si="6"/>
        <v>0</v>
      </c>
      <c r="F243" s="42" t="str">
        <f t="shared" si="7"/>
        <v></v>
      </c>
      <c r="G243" s="39"/>
      <c r="I243" s="44"/>
    </row>
    <row r="244" spans="1:9" ht="18.25" customHeight="1">
      <c r="A244" s="39">
        <v>238</v>
      </c>
      <c r="B244" s="40"/>
      <c r="C244" s="39"/>
      <c r="D244" s="39"/>
      <c r="E244" s="43">
        <f t="shared" si="6"/>
        <v>0</v>
      </c>
      <c r="F244" s="42" t="str">
        <f t="shared" si="7"/>
        <v></v>
      </c>
      <c r="G244" s="39"/>
      <c r="I244" s="44"/>
    </row>
    <row r="245" spans="1:9" ht="18.25" customHeight="1">
      <c r="A245" s="39">
        <v>239</v>
      </c>
      <c r="B245" s="40"/>
      <c r="C245" s="39"/>
      <c r="D245" s="39"/>
      <c r="E245" s="43">
        <f t="shared" si="6"/>
        <v>0</v>
      </c>
      <c r="F245" s="42" t="str">
        <f t="shared" si="7"/>
        <v></v>
      </c>
      <c r="G245" s="39"/>
      <c r="I245" s="44"/>
    </row>
    <row r="246" spans="1:9" ht="18.25" customHeight="1">
      <c r="A246" s="39">
        <v>240</v>
      </c>
      <c r="B246" s="40"/>
      <c r="C246" s="39"/>
      <c r="D246" s="39"/>
      <c r="E246" s="43">
        <f t="shared" si="6"/>
        <v>0</v>
      </c>
      <c r="F246" s="42" t="str">
        <f t="shared" si="7"/>
        <v></v>
      </c>
      <c r="G246" s="39"/>
      <c r="I246" s="44"/>
    </row>
    <row r="247" spans="1:9" ht="18.25" customHeight="1">
      <c r="A247" s="39">
        <v>241</v>
      </c>
      <c r="B247" s="40"/>
      <c r="C247" s="39"/>
      <c r="D247" s="39"/>
      <c r="E247" s="43">
        <f t="shared" si="6"/>
        <v>0</v>
      </c>
      <c r="F247" s="42" t="str">
        <f t="shared" si="7"/>
        <v></v>
      </c>
      <c r="G247" s="39"/>
      <c r="I247" s="44"/>
    </row>
    <row r="248" spans="1:9" ht="18.25" customHeight="1">
      <c r="A248" s="39">
        <v>242</v>
      </c>
      <c r="B248" s="40"/>
      <c r="C248" s="39"/>
      <c r="D248" s="39"/>
      <c r="E248" s="43">
        <f t="shared" si="6"/>
        <v>0</v>
      </c>
      <c r="F248" s="42" t="str">
        <f t="shared" si="7"/>
        <v></v>
      </c>
      <c r="G248" s="39"/>
      <c r="I248" s="44"/>
    </row>
    <row r="249" spans="1:9" ht="18.25" customHeight="1">
      <c r="A249" s="39">
        <v>243</v>
      </c>
      <c r="B249" s="40"/>
      <c r="C249" s="39"/>
      <c r="D249" s="39"/>
      <c r="E249" s="43">
        <f t="shared" si="6"/>
        <v>0</v>
      </c>
      <c r="F249" s="42" t="str">
        <f t="shared" si="7"/>
        <v></v>
      </c>
      <c r="G249" s="39"/>
      <c r="I249" s="44"/>
    </row>
    <row r="250" spans="1:9" ht="18.25" customHeight="1">
      <c r="A250" s="39">
        <v>244</v>
      </c>
      <c r="B250" s="40"/>
      <c r="C250" s="39"/>
      <c r="D250" s="39"/>
      <c r="E250" s="43">
        <f t="shared" si="6"/>
        <v>0</v>
      </c>
      <c r="F250" s="42" t="str">
        <f t="shared" si="7"/>
        <v></v>
      </c>
      <c r="G250" s="39"/>
      <c r="I250" s="44"/>
    </row>
    <row r="251" spans="1:9" ht="18.25" customHeight="1">
      <c r="A251" s="39">
        <v>245</v>
      </c>
      <c r="B251" s="40"/>
      <c r="C251" s="39"/>
      <c r="D251" s="39"/>
      <c r="E251" s="43">
        <f t="shared" si="6"/>
        <v>0</v>
      </c>
      <c r="F251" s="42" t="str">
        <f t="shared" si="7"/>
        <v></v>
      </c>
      <c r="G251" s="39"/>
      <c r="I251" s="44"/>
    </row>
    <row r="252" spans="1:9" ht="18.25" customHeight="1">
      <c r="A252" s="39">
        <v>246</v>
      </c>
      <c r="B252" s="40"/>
      <c r="C252" s="39"/>
      <c r="D252" s="39"/>
      <c r="E252" s="43">
        <f t="shared" si="6"/>
        <v>0</v>
      </c>
      <c r="F252" s="42" t="str">
        <f t="shared" si="7"/>
        <v></v>
      </c>
      <c r="G252" s="39"/>
      <c r="I252" s="44"/>
    </row>
    <row r="253" spans="1:9" ht="18.25" customHeight="1">
      <c r="A253" s="39">
        <v>247</v>
      </c>
      <c r="B253" s="40"/>
      <c r="C253" s="39"/>
      <c r="D253" s="39"/>
      <c r="E253" s="43">
        <f t="shared" si="6"/>
        <v>0</v>
      </c>
      <c r="F253" s="42" t="str">
        <f t="shared" si="7"/>
        <v></v>
      </c>
      <c r="G253" s="39"/>
      <c r="I253" s="44"/>
    </row>
    <row r="254" spans="1:9" ht="18.25" customHeight="1">
      <c r="A254" s="39">
        <v>248</v>
      </c>
      <c r="B254" s="40"/>
      <c r="C254" s="39"/>
      <c r="D254" s="39"/>
      <c r="E254" s="43">
        <f t="shared" si="6"/>
        <v>0</v>
      </c>
      <c r="F254" s="42" t="str">
        <f t="shared" si="7"/>
        <v></v>
      </c>
      <c r="G254" s="39"/>
      <c r="I254" s="44"/>
    </row>
    <row r="255" spans="1:9" ht="18.25" customHeight="1">
      <c r="A255" s="39">
        <v>249</v>
      </c>
      <c r="B255" s="40"/>
      <c r="C255" s="39"/>
      <c r="D255" s="39"/>
      <c r="E255" s="43">
        <f t="shared" si="6"/>
        <v>0</v>
      </c>
      <c r="F255" s="42" t="str">
        <f t="shared" si="7"/>
        <v></v>
      </c>
      <c r="G255" s="39"/>
      <c r="I255" s="44"/>
    </row>
    <row r="256" spans="1:9" ht="18.25" customHeight="1">
      <c r="A256" s="39">
        <v>250</v>
      </c>
      <c r="B256" s="40"/>
      <c r="C256" s="39"/>
      <c r="D256" s="39"/>
      <c r="E256" s="43">
        <f t="shared" si="6"/>
        <v>0</v>
      </c>
      <c r="F256" s="42" t="str">
        <f t="shared" si="7"/>
        <v></v>
      </c>
      <c r="G256" s="39"/>
      <c r="I256" s="44"/>
    </row>
    <row r="257" spans="1:9" ht="18.25" customHeight="1">
      <c r="A257" s="39">
        <v>251</v>
      </c>
      <c r="B257" s="40"/>
      <c r="C257" s="39"/>
      <c r="D257" s="39"/>
      <c r="E257" s="43">
        <f t="shared" si="6"/>
        <v>0</v>
      </c>
      <c r="F257" s="42" t="str">
        <f t="shared" si="7"/>
        <v></v>
      </c>
      <c r="G257" s="39"/>
      <c r="I257" s="44"/>
    </row>
    <row r="258" spans="1:9" ht="18.25" customHeight="1">
      <c r="A258" s="39">
        <v>252</v>
      </c>
      <c r="B258" s="40"/>
      <c r="C258" s="39"/>
      <c r="D258" s="39"/>
      <c r="E258" s="43">
        <f t="shared" si="6"/>
        <v>0</v>
      </c>
      <c r="F258" s="42" t="str">
        <f t="shared" si="7"/>
        <v></v>
      </c>
      <c r="G258" s="39"/>
      <c r="I258" s="44"/>
    </row>
    <row r="259" spans="1:9" ht="18.25" customHeight="1">
      <c r="A259" s="39">
        <v>253</v>
      </c>
      <c r="B259" s="40"/>
      <c r="C259" s="39"/>
      <c r="D259" s="39"/>
      <c r="E259" s="43">
        <f t="shared" si="6"/>
        <v>0</v>
      </c>
      <c r="F259" s="42" t="str">
        <f t="shared" si="7"/>
        <v></v>
      </c>
      <c r="G259" s="39"/>
      <c r="I259" s="44"/>
    </row>
    <row r="260" spans="1:9" ht="18.25" customHeight="1">
      <c r="A260" s="39">
        <v>254</v>
      </c>
      <c r="B260" s="40"/>
      <c r="C260" s="39"/>
      <c r="D260" s="39"/>
      <c r="E260" s="43">
        <f t="shared" si="6"/>
        <v>0</v>
      </c>
      <c r="F260" s="42" t="str">
        <f t="shared" si="7"/>
        <v></v>
      </c>
      <c r="G260" s="39"/>
      <c r="I260" s="44"/>
    </row>
    <row r="261" spans="1:9" ht="18.25" customHeight="1">
      <c r="A261" s="39">
        <v>255</v>
      </c>
      <c r="B261" s="40"/>
      <c r="C261" s="39"/>
      <c r="D261" s="39"/>
      <c r="E261" s="43">
        <f t="shared" si="6"/>
        <v>0</v>
      </c>
      <c r="F261" s="42" t="str">
        <f t="shared" si="7"/>
        <v></v>
      </c>
      <c r="G261" s="39"/>
      <c r="I261" s="44"/>
    </row>
    <row r="262" spans="1:9" ht="18.25" customHeight="1">
      <c r="A262" s="39">
        <v>256</v>
      </c>
      <c r="B262" s="40"/>
      <c r="C262" s="39"/>
      <c r="D262" s="39"/>
      <c r="E262" s="43">
        <f t="shared" si="6"/>
        <v>0</v>
      </c>
      <c r="F262" s="42" t="str">
        <f t="shared" si="7"/>
        <v></v>
      </c>
      <c r="G262" s="39"/>
      <c r="I262" s="44"/>
    </row>
    <row r="263" spans="1:9" ht="18.25" customHeight="1">
      <c r="A263" s="39">
        <v>257</v>
      </c>
      <c r="B263" s="40"/>
      <c r="C263" s="39"/>
      <c r="D263" s="39"/>
      <c r="E263" s="43">
        <f t="shared" si="6"/>
        <v>0</v>
      </c>
      <c r="F263" s="42" t="str">
        <f t="shared" si="7"/>
        <v></v>
      </c>
      <c r="G263" s="39"/>
      <c r="I263" s="44"/>
    </row>
    <row r="264" spans="1:9" ht="18.25" customHeight="1">
      <c r="A264" s="39">
        <v>258</v>
      </c>
      <c r="B264" s="40"/>
      <c r="C264" s="39"/>
      <c r="D264" s="39"/>
      <c r="E264" s="43">
        <f t="shared" si="6"/>
        <v>0</v>
      </c>
      <c r="F264" s="42" t="str">
        <f t="shared" si="7"/>
        <v></v>
      </c>
      <c r="G264" s="39"/>
      <c r="I264" s="44"/>
    </row>
    <row r="265" spans="1:9" ht="18.25" customHeight="1">
      <c r="A265" s="39">
        <v>259</v>
      </c>
      <c r="B265" s="40"/>
      <c r="C265" s="39"/>
      <c r="D265" s="39"/>
      <c r="E265" s="43">
        <f t="shared" si="6"/>
        <v>0</v>
      </c>
      <c r="F265" s="42" t="str">
        <f t="shared" si="7"/>
        <v></v>
      </c>
      <c r="G265" s="39"/>
      <c r="I265" s="44"/>
    </row>
    <row r="266" spans="1:9" ht="18.25" customHeight="1">
      <c r="A266" s="39">
        <v>260</v>
      </c>
      <c r="B266" s="40"/>
      <c r="C266" s="39"/>
      <c r="D266" s="39"/>
      <c r="E266" s="43">
        <f t="shared" si="6"/>
        <v>0</v>
      </c>
      <c r="F266" s="42" t="str">
        <f t="shared" si="7"/>
        <v></v>
      </c>
      <c r="G266" s="39"/>
      <c r="I266" s="44"/>
    </row>
    <row r="267" spans="1:9" ht="18.25" customHeight="1">
      <c r="A267" s="39">
        <v>261</v>
      </c>
      <c r="B267" s="40"/>
      <c r="C267" s="39"/>
      <c r="D267" s="39"/>
      <c r="E267" s="43">
        <f t="shared" si="6"/>
        <v>0</v>
      </c>
      <c r="F267" s="42" t="str">
        <f t="shared" si="7"/>
        <v></v>
      </c>
      <c r="G267" s="39"/>
      <c r="I267" s="44"/>
    </row>
    <row r="268" spans="1:9" ht="18.25" customHeight="1">
      <c r="A268" s="39">
        <v>262</v>
      </c>
      <c r="B268" s="40"/>
      <c r="C268" s="39"/>
      <c r="D268" s="39"/>
      <c r="E268" s="43">
        <f t="shared" si="6"/>
        <v>0</v>
      </c>
      <c r="F268" s="42" t="str">
        <f t="shared" si="7"/>
        <v></v>
      </c>
      <c r="G268" s="39"/>
      <c r="I268" s="44"/>
    </row>
    <row r="269" spans="1:9" ht="18.25" customHeight="1">
      <c r="A269" s="39">
        <v>263</v>
      </c>
      <c r="B269" s="40"/>
      <c r="C269" s="39"/>
      <c r="D269" s="39"/>
      <c r="E269" s="43">
        <f t="shared" si="6"/>
        <v>0</v>
      </c>
      <c r="F269" s="42" t="str">
        <f t="shared" si="7"/>
        <v></v>
      </c>
      <c r="G269" s="39"/>
      <c r="I269" s="44"/>
    </row>
    <row r="270" spans="1:9" ht="18.25" customHeight="1">
      <c r="A270" s="39">
        <v>264</v>
      </c>
      <c r="B270" s="40"/>
      <c r="C270" s="39"/>
      <c r="D270" s="39"/>
      <c r="E270" s="43">
        <f t="shared" si="6"/>
        <v>0</v>
      </c>
      <c r="F270" s="42" t="str">
        <f t="shared" si="7"/>
        <v></v>
      </c>
      <c r="G270" s="39"/>
      <c r="I270" s="44"/>
    </row>
    <row r="271" spans="1:9" ht="18.25" customHeight="1">
      <c r="A271" s="39">
        <v>265</v>
      </c>
      <c r="B271" s="40"/>
      <c r="C271" s="39"/>
      <c r="D271" s="39"/>
      <c r="E271" s="43">
        <f t="shared" si="6"/>
        <v>0</v>
      </c>
      <c r="F271" s="42" t="str">
        <f t="shared" si="7"/>
        <v></v>
      </c>
      <c r="G271" s="39"/>
      <c r="I271" s="44"/>
    </row>
    <row r="272" spans="1:9" ht="18.25" customHeight="1">
      <c r="A272" s="39">
        <v>266</v>
      </c>
      <c r="B272" s="40"/>
      <c r="C272" s="39"/>
      <c r="D272" s="39"/>
      <c r="E272" s="43">
        <f t="shared" si="6"/>
        <v>0</v>
      </c>
      <c r="F272" s="42" t="str">
        <f t="shared" si="7"/>
        <v></v>
      </c>
      <c r="G272" s="39"/>
      <c r="I272" s="44"/>
    </row>
    <row r="273" spans="1:9" ht="18.25" customHeight="1">
      <c r="A273" s="39">
        <v>267</v>
      </c>
      <c r="B273" s="40"/>
      <c r="C273" s="39"/>
      <c r="D273" s="39"/>
      <c r="E273" s="43">
        <f t="shared" si="6"/>
        <v>0</v>
      </c>
      <c r="F273" s="42" t="str">
        <f t="shared" si="7"/>
        <v></v>
      </c>
      <c r="G273" s="39"/>
      <c r="I273" s="44"/>
    </row>
    <row r="274" spans="1:9" ht="18.25" customHeight="1">
      <c r="A274" s="39">
        <v>268</v>
      </c>
      <c r="B274" s="40"/>
      <c r="C274" s="39"/>
      <c r="D274" s="39"/>
      <c r="E274" s="43">
        <f t="shared" si="6"/>
        <v>0</v>
      </c>
      <c r="F274" s="42" t="str">
        <f t="shared" si="7"/>
        <v></v>
      </c>
      <c r="G274" s="39"/>
      <c r="I274" s="44"/>
    </row>
    <row r="275" spans="1:9" ht="18.25" customHeight="1">
      <c r="A275" s="39">
        <v>269</v>
      </c>
      <c r="B275" s="40"/>
      <c r="C275" s="39"/>
      <c r="D275" s="39"/>
      <c r="E275" s="43">
        <f t="shared" ref="E275:E338" si="8">IFERROR(D275/C275,0)</f>
        <v>0</v>
      </c>
      <c r="F275" s="42" t="str">
        <f t="shared" ref="F275:F338" si="9">IF(E275&lt;=0.15,"","")</f>
        <v></v>
      </c>
      <c r="G275" s="39"/>
      <c r="I275" s="44"/>
    </row>
    <row r="276" spans="1:9" ht="18.25" customHeight="1">
      <c r="A276" s="39">
        <v>270</v>
      </c>
      <c r="B276" s="40"/>
      <c r="C276" s="39"/>
      <c r="D276" s="39"/>
      <c r="E276" s="43">
        <f t="shared" si="8"/>
        <v>0</v>
      </c>
      <c r="F276" s="42" t="str">
        <f t="shared" si="9"/>
        <v></v>
      </c>
      <c r="G276" s="39"/>
      <c r="I276" s="44"/>
    </row>
    <row r="277" spans="1:9" ht="18.25" customHeight="1">
      <c r="A277" s="39">
        <v>271</v>
      </c>
      <c r="B277" s="40"/>
      <c r="C277" s="39"/>
      <c r="D277" s="39"/>
      <c r="E277" s="43">
        <f t="shared" si="8"/>
        <v>0</v>
      </c>
      <c r="F277" s="42" t="str">
        <f t="shared" si="9"/>
        <v></v>
      </c>
      <c r="G277" s="39"/>
      <c r="I277" s="44"/>
    </row>
    <row r="278" spans="1:9" ht="18.25" customHeight="1">
      <c r="A278" s="39">
        <v>272</v>
      </c>
      <c r="B278" s="40"/>
      <c r="C278" s="39"/>
      <c r="D278" s="39"/>
      <c r="E278" s="43">
        <f t="shared" si="8"/>
        <v>0</v>
      </c>
      <c r="F278" s="42" t="str">
        <f t="shared" si="9"/>
        <v></v>
      </c>
      <c r="G278" s="39"/>
      <c r="I278" s="44"/>
    </row>
    <row r="279" spans="1:9" ht="18.25" customHeight="1">
      <c r="A279" s="39">
        <v>273</v>
      </c>
      <c r="B279" s="40"/>
      <c r="C279" s="39"/>
      <c r="D279" s="39"/>
      <c r="E279" s="43">
        <f t="shared" si="8"/>
        <v>0</v>
      </c>
      <c r="F279" s="42" t="str">
        <f t="shared" si="9"/>
        <v></v>
      </c>
      <c r="G279" s="39"/>
      <c r="I279" s="44"/>
    </row>
    <row r="280" spans="1:9" ht="18.25" customHeight="1">
      <c r="A280" s="39">
        <v>274</v>
      </c>
      <c r="B280" s="40"/>
      <c r="C280" s="39"/>
      <c r="D280" s="39"/>
      <c r="E280" s="43">
        <f t="shared" si="8"/>
        <v>0</v>
      </c>
      <c r="F280" s="42" t="str">
        <f t="shared" si="9"/>
        <v></v>
      </c>
      <c r="G280" s="39"/>
      <c r="I280" s="44"/>
    </row>
    <row r="281" spans="1:9" ht="18.25" customHeight="1">
      <c r="A281" s="39">
        <v>275</v>
      </c>
      <c r="B281" s="40"/>
      <c r="C281" s="39"/>
      <c r="D281" s="39"/>
      <c r="E281" s="43">
        <f t="shared" si="8"/>
        <v>0</v>
      </c>
      <c r="F281" s="42" t="str">
        <f t="shared" si="9"/>
        <v></v>
      </c>
      <c r="G281" s="39"/>
      <c r="I281" s="44"/>
    </row>
    <row r="282" spans="1:9" ht="18.25" customHeight="1">
      <c r="A282" s="39">
        <v>276</v>
      </c>
      <c r="B282" s="40"/>
      <c r="C282" s="39"/>
      <c r="D282" s="39"/>
      <c r="E282" s="43">
        <f t="shared" si="8"/>
        <v>0</v>
      </c>
      <c r="F282" s="42" t="str">
        <f t="shared" si="9"/>
        <v></v>
      </c>
      <c r="G282" s="39"/>
      <c r="I282" s="44"/>
    </row>
    <row r="283" spans="1:9" ht="18.25" customHeight="1">
      <c r="A283" s="39">
        <v>277</v>
      </c>
      <c r="B283" s="40"/>
      <c r="C283" s="39"/>
      <c r="D283" s="39"/>
      <c r="E283" s="43">
        <f t="shared" si="8"/>
        <v>0</v>
      </c>
      <c r="F283" s="42" t="str">
        <f t="shared" si="9"/>
        <v></v>
      </c>
      <c r="G283" s="39"/>
      <c r="I283" s="44"/>
    </row>
    <row r="284" spans="1:9" ht="18.25" customHeight="1">
      <c r="A284" s="39">
        <v>278</v>
      </c>
      <c r="B284" s="40"/>
      <c r="C284" s="39"/>
      <c r="D284" s="39"/>
      <c r="E284" s="43">
        <f t="shared" si="8"/>
        <v>0</v>
      </c>
      <c r="F284" s="42" t="str">
        <f t="shared" si="9"/>
        <v></v>
      </c>
      <c r="G284" s="39"/>
      <c r="I284" s="44"/>
    </row>
    <row r="285" spans="1:9" ht="18.25" customHeight="1">
      <c r="A285" s="39">
        <v>279</v>
      </c>
      <c r="B285" s="40"/>
      <c r="C285" s="39"/>
      <c r="D285" s="39"/>
      <c r="E285" s="43">
        <f t="shared" si="8"/>
        <v>0</v>
      </c>
      <c r="F285" s="42" t="str">
        <f t="shared" si="9"/>
        <v></v>
      </c>
      <c r="G285" s="39"/>
      <c r="I285" s="44"/>
    </row>
    <row r="286" spans="1:9" ht="18.25" customHeight="1">
      <c r="A286" s="39">
        <v>280</v>
      </c>
      <c r="B286" s="40"/>
      <c r="C286" s="39"/>
      <c r="D286" s="39"/>
      <c r="E286" s="43">
        <f t="shared" si="8"/>
        <v>0</v>
      </c>
      <c r="F286" s="42" t="str">
        <f t="shared" si="9"/>
        <v></v>
      </c>
      <c r="G286" s="39"/>
      <c r="I286" s="44"/>
    </row>
    <row r="287" spans="1:9" ht="18.25" customHeight="1">
      <c r="A287" s="39">
        <v>281</v>
      </c>
      <c r="B287" s="40"/>
      <c r="C287" s="39"/>
      <c r="D287" s="39"/>
      <c r="E287" s="43">
        <f t="shared" si="8"/>
        <v>0</v>
      </c>
      <c r="F287" s="42" t="str">
        <f t="shared" si="9"/>
        <v></v>
      </c>
      <c r="G287" s="39"/>
      <c r="I287" s="44"/>
    </row>
    <row r="288" spans="1:9" ht="18.25" customHeight="1">
      <c r="A288" s="39">
        <v>282</v>
      </c>
      <c r="B288" s="40"/>
      <c r="C288" s="39"/>
      <c r="D288" s="39"/>
      <c r="E288" s="43">
        <f t="shared" si="8"/>
        <v>0</v>
      </c>
      <c r="F288" s="42" t="str">
        <f t="shared" si="9"/>
        <v></v>
      </c>
      <c r="G288" s="39"/>
      <c r="I288" s="44"/>
    </row>
    <row r="289" spans="1:9" ht="18.25" customHeight="1">
      <c r="A289" s="39">
        <v>283</v>
      </c>
      <c r="B289" s="40"/>
      <c r="C289" s="39"/>
      <c r="D289" s="39"/>
      <c r="E289" s="43">
        <f t="shared" si="8"/>
        <v>0</v>
      </c>
      <c r="F289" s="42" t="str">
        <f t="shared" si="9"/>
        <v></v>
      </c>
      <c r="G289" s="39"/>
      <c r="I289" s="44"/>
    </row>
    <row r="290" spans="1:9" ht="18.25" customHeight="1">
      <c r="A290" s="39">
        <v>284</v>
      </c>
      <c r="B290" s="40"/>
      <c r="C290" s="39"/>
      <c r="D290" s="39"/>
      <c r="E290" s="43">
        <f t="shared" si="8"/>
        <v>0</v>
      </c>
      <c r="F290" s="42" t="str">
        <f t="shared" si="9"/>
        <v></v>
      </c>
      <c r="G290" s="39"/>
      <c r="I290" s="44"/>
    </row>
    <row r="291" spans="1:9" ht="18.25" customHeight="1">
      <c r="A291" s="39">
        <v>285</v>
      </c>
      <c r="B291" s="40"/>
      <c r="C291" s="39"/>
      <c r="D291" s="39"/>
      <c r="E291" s="43">
        <f t="shared" si="8"/>
        <v>0</v>
      </c>
      <c r="F291" s="42" t="str">
        <f t="shared" si="9"/>
        <v></v>
      </c>
      <c r="G291" s="39"/>
      <c r="I291" s="44"/>
    </row>
    <row r="292" spans="1:9" ht="18.25" customHeight="1">
      <c r="A292" s="39">
        <v>286</v>
      </c>
      <c r="B292" s="40"/>
      <c r="C292" s="39"/>
      <c r="D292" s="39"/>
      <c r="E292" s="43">
        <f t="shared" si="8"/>
        <v>0</v>
      </c>
      <c r="F292" s="42" t="str">
        <f t="shared" si="9"/>
        <v></v>
      </c>
      <c r="G292" s="39"/>
      <c r="I292" s="44"/>
    </row>
    <row r="293" spans="1:9" ht="18.25" customHeight="1">
      <c r="A293" s="39">
        <v>287</v>
      </c>
      <c r="B293" s="40"/>
      <c r="C293" s="39"/>
      <c r="D293" s="39"/>
      <c r="E293" s="43">
        <f t="shared" si="8"/>
        <v>0</v>
      </c>
      <c r="F293" s="42" t="str">
        <f t="shared" si="9"/>
        <v></v>
      </c>
      <c r="G293" s="39"/>
      <c r="I293" s="44"/>
    </row>
    <row r="294" spans="1:9" ht="18.25" customHeight="1">
      <c r="A294" s="39">
        <v>288</v>
      </c>
      <c r="B294" s="40"/>
      <c r="C294" s="39"/>
      <c r="D294" s="39"/>
      <c r="E294" s="43">
        <f t="shared" si="8"/>
        <v>0</v>
      </c>
      <c r="F294" s="42" t="str">
        <f t="shared" si="9"/>
        <v></v>
      </c>
      <c r="G294" s="39"/>
      <c r="I294" s="44"/>
    </row>
    <row r="295" spans="1:9" ht="18.25" customHeight="1">
      <c r="A295" s="39">
        <v>289</v>
      </c>
      <c r="B295" s="40"/>
      <c r="C295" s="39"/>
      <c r="D295" s="39"/>
      <c r="E295" s="43">
        <f t="shared" si="8"/>
        <v>0</v>
      </c>
      <c r="F295" s="42" t="str">
        <f t="shared" si="9"/>
        <v></v>
      </c>
      <c r="G295" s="39"/>
      <c r="I295" s="44"/>
    </row>
    <row r="296" spans="1:9" ht="18.25" customHeight="1">
      <c r="A296" s="39">
        <v>290</v>
      </c>
      <c r="B296" s="40"/>
      <c r="C296" s="39"/>
      <c r="D296" s="39"/>
      <c r="E296" s="43">
        <f t="shared" si="8"/>
        <v>0</v>
      </c>
      <c r="F296" s="42" t="str">
        <f t="shared" si="9"/>
        <v></v>
      </c>
      <c r="G296" s="39"/>
      <c r="I296" s="44"/>
    </row>
    <row r="297" spans="1:9" ht="18.25" customHeight="1">
      <c r="A297" s="39">
        <v>291</v>
      </c>
      <c r="B297" s="40"/>
      <c r="C297" s="39"/>
      <c r="D297" s="39"/>
      <c r="E297" s="43">
        <f t="shared" si="8"/>
        <v>0</v>
      </c>
      <c r="F297" s="42" t="str">
        <f t="shared" si="9"/>
        <v></v>
      </c>
      <c r="G297" s="39"/>
      <c r="I297" s="44"/>
    </row>
    <row r="298" spans="1:9" ht="18.25" customHeight="1">
      <c r="A298" s="39">
        <v>292</v>
      </c>
      <c r="B298" s="40"/>
      <c r="C298" s="39"/>
      <c r="D298" s="39"/>
      <c r="E298" s="43">
        <f t="shared" si="8"/>
        <v>0</v>
      </c>
      <c r="F298" s="42" t="str">
        <f t="shared" si="9"/>
        <v></v>
      </c>
      <c r="G298" s="39"/>
      <c r="I298" s="44"/>
    </row>
    <row r="299" spans="1:9" ht="18.25" customHeight="1">
      <c r="A299" s="39">
        <v>293</v>
      </c>
      <c r="B299" s="40"/>
      <c r="C299" s="39"/>
      <c r="D299" s="39"/>
      <c r="E299" s="43">
        <f t="shared" si="8"/>
        <v>0</v>
      </c>
      <c r="F299" s="42" t="str">
        <f t="shared" si="9"/>
        <v></v>
      </c>
      <c r="G299" s="39"/>
      <c r="I299" s="44"/>
    </row>
    <row r="300" spans="1:9" ht="18.25" customHeight="1">
      <c r="A300" s="39">
        <v>294</v>
      </c>
      <c r="B300" s="40"/>
      <c r="C300" s="39"/>
      <c r="D300" s="39"/>
      <c r="E300" s="43">
        <f t="shared" si="8"/>
        <v>0</v>
      </c>
      <c r="F300" s="42" t="str">
        <f t="shared" si="9"/>
        <v></v>
      </c>
      <c r="G300" s="39"/>
      <c r="I300" s="44"/>
    </row>
    <row r="301" spans="1:9" ht="18.25" customHeight="1">
      <c r="A301" s="39">
        <v>295</v>
      </c>
      <c r="B301" s="40"/>
      <c r="C301" s="39"/>
      <c r="D301" s="39"/>
      <c r="E301" s="43">
        <f t="shared" si="8"/>
        <v>0</v>
      </c>
      <c r="F301" s="42" t="str">
        <f t="shared" si="9"/>
        <v></v>
      </c>
      <c r="G301" s="39"/>
      <c r="I301" s="44"/>
    </row>
    <row r="302" spans="1:9" ht="18.25" customHeight="1">
      <c r="A302" s="39">
        <v>296</v>
      </c>
      <c r="B302" s="40"/>
      <c r="C302" s="39"/>
      <c r="D302" s="39"/>
      <c r="E302" s="43">
        <f t="shared" si="8"/>
        <v>0</v>
      </c>
      <c r="F302" s="42" t="str">
        <f t="shared" si="9"/>
        <v></v>
      </c>
      <c r="G302" s="39"/>
      <c r="I302" s="44"/>
    </row>
    <row r="303" spans="1:9" ht="18.25" customHeight="1">
      <c r="A303" s="39">
        <v>297</v>
      </c>
      <c r="B303" s="40"/>
      <c r="C303" s="39"/>
      <c r="D303" s="39"/>
      <c r="E303" s="43">
        <f t="shared" si="8"/>
        <v>0</v>
      </c>
      <c r="F303" s="42" t="str">
        <f t="shared" si="9"/>
        <v></v>
      </c>
      <c r="G303" s="39"/>
      <c r="I303" s="44"/>
    </row>
    <row r="304" spans="1:9" ht="18.25" customHeight="1">
      <c r="A304" s="39">
        <v>298</v>
      </c>
      <c r="B304" s="40"/>
      <c r="C304" s="39"/>
      <c r="D304" s="39"/>
      <c r="E304" s="43">
        <f t="shared" si="8"/>
        <v>0</v>
      </c>
      <c r="F304" s="42" t="str">
        <f t="shared" si="9"/>
        <v></v>
      </c>
      <c r="G304" s="39"/>
      <c r="I304" s="44"/>
    </row>
    <row r="305" spans="1:9" ht="18.25" customHeight="1">
      <c r="A305" s="39">
        <v>299</v>
      </c>
      <c r="B305" s="40"/>
      <c r="C305" s="39"/>
      <c r="D305" s="39"/>
      <c r="E305" s="43">
        <f t="shared" si="8"/>
        <v>0</v>
      </c>
      <c r="F305" s="42" t="str">
        <f t="shared" si="9"/>
        <v></v>
      </c>
      <c r="G305" s="39"/>
      <c r="I305" s="44"/>
    </row>
    <row r="306" spans="1:9" ht="18.25" customHeight="1">
      <c r="A306" s="39">
        <v>300</v>
      </c>
      <c r="B306" s="40"/>
      <c r="C306" s="39"/>
      <c r="D306" s="39"/>
      <c r="E306" s="43">
        <f t="shared" si="8"/>
        <v>0</v>
      </c>
      <c r="F306" s="42" t="str">
        <f t="shared" si="9"/>
        <v></v>
      </c>
      <c r="G306" s="39"/>
      <c r="I306" s="44"/>
    </row>
    <row r="307" spans="1:9" ht="18.25" customHeight="1">
      <c r="A307" s="39">
        <v>301</v>
      </c>
      <c r="B307" s="40"/>
      <c r="C307" s="39"/>
      <c r="D307" s="39"/>
      <c r="E307" s="43">
        <f t="shared" si="8"/>
        <v>0</v>
      </c>
      <c r="F307" s="42" t="str">
        <f t="shared" si="9"/>
        <v></v>
      </c>
      <c r="G307" s="39"/>
      <c r="I307" s="44"/>
    </row>
    <row r="308" spans="1:9" ht="18.25" customHeight="1">
      <c r="A308" s="39">
        <v>302</v>
      </c>
      <c r="B308" s="40"/>
      <c r="C308" s="39"/>
      <c r="D308" s="39"/>
      <c r="E308" s="43">
        <f t="shared" si="8"/>
        <v>0</v>
      </c>
      <c r="F308" s="42" t="str">
        <f t="shared" si="9"/>
        <v></v>
      </c>
      <c r="G308" s="39"/>
      <c r="I308" s="44"/>
    </row>
    <row r="309" spans="1:9" ht="18.25" customHeight="1">
      <c r="A309" s="39">
        <v>303</v>
      </c>
      <c r="B309" s="40"/>
      <c r="C309" s="39"/>
      <c r="D309" s="39"/>
      <c r="E309" s="43">
        <f t="shared" si="8"/>
        <v>0</v>
      </c>
      <c r="F309" s="42" t="str">
        <f t="shared" si="9"/>
        <v></v>
      </c>
      <c r="G309" s="39"/>
      <c r="I309" s="44"/>
    </row>
    <row r="310" spans="1:9" ht="18.25" customHeight="1">
      <c r="A310" s="39">
        <v>304</v>
      </c>
      <c r="B310" s="40"/>
      <c r="C310" s="39"/>
      <c r="D310" s="39"/>
      <c r="E310" s="43">
        <f t="shared" si="8"/>
        <v>0</v>
      </c>
      <c r="F310" s="42" t="str">
        <f t="shared" si="9"/>
        <v></v>
      </c>
      <c r="G310" s="39"/>
      <c r="I310" s="44"/>
    </row>
    <row r="311" spans="1:9" ht="18.25" customHeight="1">
      <c r="A311" s="39">
        <v>305</v>
      </c>
      <c r="B311" s="40"/>
      <c r="C311" s="39"/>
      <c r="D311" s="39"/>
      <c r="E311" s="43">
        <f t="shared" si="8"/>
        <v>0</v>
      </c>
      <c r="F311" s="42" t="str">
        <f t="shared" si="9"/>
        <v></v>
      </c>
      <c r="G311" s="39"/>
      <c r="I311" s="44"/>
    </row>
    <row r="312" spans="1:9" ht="18.25" customHeight="1">
      <c r="A312" s="39">
        <v>306</v>
      </c>
      <c r="B312" s="40"/>
      <c r="C312" s="39"/>
      <c r="D312" s="39"/>
      <c r="E312" s="43">
        <f t="shared" si="8"/>
        <v>0</v>
      </c>
      <c r="F312" s="42" t="str">
        <f t="shared" si="9"/>
        <v></v>
      </c>
      <c r="G312" s="39"/>
      <c r="I312" s="44"/>
    </row>
    <row r="313" spans="1:9" ht="18.25" customHeight="1">
      <c r="A313" s="39">
        <v>307</v>
      </c>
      <c r="B313" s="40"/>
      <c r="C313" s="39"/>
      <c r="D313" s="39"/>
      <c r="E313" s="43">
        <f t="shared" si="8"/>
        <v>0</v>
      </c>
      <c r="F313" s="42" t="str">
        <f t="shared" si="9"/>
        <v></v>
      </c>
      <c r="G313" s="39"/>
      <c r="I313" s="44"/>
    </row>
    <row r="314" spans="1:9" ht="18.25" customHeight="1">
      <c r="A314" s="39">
        <v>308</v>
      </c>
      <c r="B314" s="40"/>
      <c r="C314" s="39"/>
      <c r="D314" s="39"/>
      <c r="E314" s="43">
        <f t="shared" si="8"/>
        <v>0</v>
      </c>
      <c r="F314" s="42" t="str">
        <f t="shared" si="9"/>
        <v></v>
      </c>
      <c r="G314" s="39"/>
      <c r="I314" s="44"/>
    </row>
    <row r="315" spans="1:9" ht="18.25" customHeight="1">
      <c r="A315" s="39">
        <v>309</v>
      </c>
      <c r="B315" s="46"/>
      <c r="C315" s="39"/>
      <c r="D315" s="39"/>
      <c r="E315" s="43">
        <f t="shared" si="8"/>
        <v>0</v>
      </c>
      <c r="F315" s="42" t="str">
        <f t="shared" si="9"/>
        <v></v>
      </c>
      <c r="G315" s="39"/>
      <c r="I315" s="44"/>
    </row>
    <row r="316" spans="1:9" ht="18.25" customHeight="1">
      <c r="A316" s="39">
        <v>310</v>
      </c>
      <c r="B316" s="46"/>
      <c r="C316" s="39"/>
      <c r="D316" s="39"/>
      <c r="E316" s="43">
        <f t="shared" si="8"/>
        <v>0</v>
      </c>
      <c r="F316" s="42" t="str">
        <f t="shared" si="9"/>
        <v></v>
      </c>
      <c r="G316" s="39"/>
      <c r="I316" s="44"/>
    </row>
    <row r="317" spans="1:9" ht="18.25" customHeight="1">
      <c r="A317" s="39">
        <v>311</v>
      </c>
      <c r="B317" s="46"/>
      <c r="C317" s="39"/>
      <c r="D317" s="39"/>
      <c r="E317" s="43">
        <f t="shared" si="8"/>
        <v>0</v>
      </c>
      <c r="F317" s="42" t="str">
        <f t="shared" si="9"/>
        <v></v>
      </c>
      <c r="G317" s="39"/>
      <c r="I317" s="44"/>
    </row>
    <row r="318" spans="1:9" ht="18.25" customHeight="1">
      <c r="A318" s="39">
        <v>312</v>
      </c>
      <c r="B318" s="46"/>
      <c r="C318" s="39"/>
      <c r="D318" s="39"/>
      <c r="E318" s="43">
        <f t="shared" si="8"/>
        <v>0</v>
      </c>
      <c r="F318" s="42" t="str">
        <f t="shared" si="9"/>
        <v></v>
      </c>
      <c r="G318" s="39"/>
      <c r="I318" s="44"/>
    </row>
    <row r="319" spans="1:9" ht="18.25" customHeight="1">
      <c r="A319" s="39">
        <v>313</v>
      </c>
      <c r="B319" s="46"/>
      <c r="C319" s="39"/>
      <c r="D319" s="39"/>
      <c r="E319" s="43">
        <f t="shared" si="8"/>
        <v>0</v>
      </c>
      <c r="F319" s="42" t="str">
        <f t="shared" si="9"/>
        <v></v>
      </c>
      <c r="G319" s="39"/>
      <c r="I319" s="44"/>
    </row>
    <row r="320" spans="1:9" ht="18.25" customHeight="1">
      <c r="A320" s="39">
        <v>314</v>
      </c>
      <c r="B320" s="46"/>
      <c r="C320" s="39"/>
      <c r="D320" s="39"/>
      <c r="E320" s="43">
        <f t="shared" si="8"/>
        <v>0</v>
      </c>
      <c r="F320" s="42" t="str">
        <f t="shared" si="9"/>
        <v></v>
      </c>
      <c r="G320" s="39"/>
      <c r="I320" s="44"/>
    </row>
    <row r="321" spans="1:9" ht="18.25" customHeight="1">
      <c r="A321" s="39">
        <v>315</v>
      </c>
      <c r="B321" s="46"/>
      <c r="C321" s="39"/>
      <c r="D321" s="39"/>
      <c r="E321" s="43">
        <f t="shared" si="8"/>
        <v>0</v>
      </c>
      <c r="F321" s="42" t="str">
        <f t="shared" si="9"/>
        <v></v>
      </c>
      <c r="G321" s="39"/>
      <c r="I321" s="44"/>
    </row>
    <row r="322" spans="1:9" ht="18.25" customHeight="1">
      <c r="A322" s="39">
        <v>316</v>
      </c>
      <c r="B322" s="46"/>
      <c r="C322" s="39"/>
      <c r="D322" s="39"/>
      <c r="E322" s="43">
        <f t="shared" si="8"/>
        <v>0</v>
      </c>
      <c r="F322" s="42" t="str">
        <f t="shared" si="9"/>
        <v></v>
      </c>
      <c r="G322" s="39"/>
      <c r="I322" s="44"/>
    </row>
    <row r="323" spans="1:9" ht="18.25" customHeight="1">
      <c r="A323" s="39">
        <v>317</v>
      </c>
      <c r="B323" s="46"/>
      <c r="C323" s="39"/>
      <c r="D323" s="39"/>
      <c r="E323" s="43">
        <f t="shared" si="8"/>
        <v>0</v>
      </c>
      <c r="F323" s="42" t="str">
        <f t="shared" si="9"/>
        <v></v>
      </c>
      <c r="G323" s="39"/>
      <c r="I323" s="44"/>
    </row>
    <row r="324" spans="1:9" ht="18.25" customHeight="1">
      <c r="A324" s="39">
        <v>318</v>
      </c>
      <c r="B324" s="46"/>
      <c r="C324" s="39"/>
      <c r="D324" s="39"/>
      <c r="E324" s="43">
        <f t="shared" si="8"/>
        <v>0</v>
      </c>
      <c r="F324" s="42" t="str">
        <f t="shared" si="9"/>
        <v></v>
      </c>
      <c r="G324" s="39"/>
      <c r="I324" s="44"/>
    </row>
    <row r="325" spans="1:9" ht="18.25" customHeight="1">
      <c r="A325" s="39">
        <v>319</v>
      </c>
      <c r="B325" s="46"/>
      <c r="C325" s="39"/>
      <c r="D325" s="39"/>
      <c r="E325" s="43">
        <f t="shared" si="8"/>
        <v>0</v>
      </c>
      <c r="F325" s="42" t="str">
        <f t="shared" si="9"/>
        <v></v>
      </c>
      <c r="G325" s="39"/>
      <c r="I325" s="44"/>
    </row>
    <row r="326" spans="1:9" ht="18.25" customHeight="1">
      <c r="A326" s="39">
        <v>320</v>
      </c>
      <c r="B326" s="46"/>
      <c r="C326" s="39"/>
      <c r="D326" s="39"/>
      <c r="E326" s="43">
        <f t="shared" si="8"/>
        <v>0</v>
      </c>
      <c r="F326" s="42" t="str">
        <f t="shared" si="9"/>
        <v></v>
      </c>
      <c r="G326" s="39"/>
      <c r="I326" s="44"/>
    </row>
    <row r="327" spans="1:9" ht="18.25" customHeight="1">
      <c r="A327" s="39">
        <v>321</v>
      </c>
      <c r="B327" s="46"/>
      <c r="C327" s="39"/>
      <c r="D327" s="39"/>
      <c r="E327" s="43">
        <f t="shared" si="8"/>
        <v>0</v>
      </c>
      <c r="F327" s="42" t="str">
        <f t="shared" si="9"/>
        <v></v>
      </c>
      <c r="G327" s="39"/>
      <c r="I327" s="44"/>
    </row>
    <row r="328" spans="1:9" ht="18.25" customHeight="1">
      <c r="A328" s="39">
        <v>322</v>
      </c>
      <c r="B328" s="46"/>
      <c r="C328" s="39"/>
      <c r="D328" s="39"/>
      <c r="E328" s="43">
        <f t="shared" si="8"/>
        <v>0</v>
      </c>
      <c r="F328" s="42" t="str">
        <f t="shared" si="9"/>
        <v></v>
      </c>
      <c r="G328" s="39"/>
      <c r="I328" s="44"/>
    </row>
    <row r="329" spans="1:9" ht="18.25" customHeight="1">
      <c r="A329" s="39">
        <v>323</v>
      </c>
      <c r="B329" s="46"/>
      <c r="C329" s="39"/>
      <c r="D329" s="39"/>
      <c r="E329" s="43">
        <f t="shared" si="8"/>
        <v>0</v>
      </c>
      <c r="F329" s="42" t="str">
        <f t="shared" si="9"/>
        <v></v>
      </c>
      <c r="G329" s="39"/>
      <c r="I329" s="44"/>
    </row>
    <row r="330" spans="1:9" ht="18.25" customHeight="1">
      <c r="A330" s="39">
        <v>324</v>
      </c>
      <c r="B330" s="46"/>
      <c r="C330" s="39"/>
      <c r="D330" s="39"/>
      <c r="E330" s="43">
        <f t="shared" si="8"/>
        <v>0</v>
      </c>
      <c r="F330" s="42" t="str">
        <f t="shared" si="9"/>
        <v></v>
      </c>
      <c r="G330" s="39"/>
      <c r="I330" s="44"/>
    </row>
    <row r="331" spans="1:9" ht="18.25" customHeight="1">
      <c r="A331" s="39">
        <v>325</v>
      </c>
      <c r="B331" s="46"/>
      <c r="C331" s="39"/>
      <c r="D331" s="39"/>
      <c r="E331" s="43">
        <f t="shared" si="8"/>
        <v>0</v>
      </c>
      <c r="F331" s="42" t="str">
        <f t="shared" si="9"/>
        <v></v>
      </c>
      <c r="G331" s="39"/>
      <c r="I331" s="44"/>
    </row>
    <row r="332" spans="1:9" ht="18.25" customHeight="1">
      <c r="A332" s="39">
        <v>326</v>
      </c>
      <c r="B332" s="46"/>
      <c r="C332" s="39"/>
      <c r="D332" s="39"/>
      <c r="E332" s="43">
        <f t="shared" si="8"/>
        <v>0</v>
      </c>
      <c r="F332" s="42" t="str">
        <f t="shared" si="9"/>
        <v></v>
      </c>
      <c r="G332" s="39"/>
      <c r="I332" s="44"/>
    </row>
    <row r="333" spans="1:9" ht="18.25" customHeight="1">
      <c r="A333" s="39">
        <v>327</v>
      </c>
      <c r="B333" s="46"/>
      <c r="C333" s="39"/>
      <c r="D333" s="39"/>
      <c r="E333" s="43">
        <f t="shared" si="8"/>
        <v>0</v>
      </c>
      <c r="F333" s="42" t="str">
        <f t="shared" si="9"/>
        <v></v>
      </c>
      <c r="G333" s="39"/>
      <c r="I333" s="44"/>
    </row>
    <row r="334" spans="1:9" ht="18.25" customHeight="1">
      <c r="A334" s="39">
        <v>328</v>
      </c>
      <c r="B334" s="46"/>
      <c r="C334" s="39"/>
      <c r="D334" s="39"/>
      <c r="E334" s="43">
        <f t="shared" si="8"/>
        <v>0</v>
      </c>
      <c r="F334" s="42" t="str">
        <f t="shared" si="9"/>
        <v></v>
      </c>
      <c r="G334" s="39"/>
      <c r="I334" s="44"/>
    </row>
    <row r="335" spans="1:9" ht="18.25" customHeight="1">
      <c r="A335" s="39">
        <v>329</v>
      </c>
      <c r="B335" s="46"/>
      <c r="C335" s="39"/>
      <c r="D335" s="39"/>
      <c r="E335" s="43">
        <f t="shared" si="8"/>
        <v>0</v>
      </c>
      <c r="F335" s="42" t="str">
        <f t="shared" si="9"/>
        <v></v>
      </c>
      <c r="G335" s="39"/>
      <c r="I335" s="44"/>
    </row>
    <row r="336" spans="1:9" ht="18.25" customHeight="1">
      <c r="A336" s="39">
        <v>330</v>
      </c>
      <c r="B336" s="46"/>
      <c r="C336" s="39"/>
      <c r="D336" s="39"/>
      <c r="E336" s="43">
        <f t="shared" si="8"/>
        <v>0</v>
      </c>
      <c r="F336" s="42" t="str">
        <f t="shared" si="9"/>
        <v></v>
      </c>
      <c r="G336" s="39"/>
      <c r="I336" s="44"/>
    </row>
    <row r="337" spans="1:9" ht="18.25" customHeight="1">
      <c r="A337" s="39">
        <v>331</v>
      </c>
      <c r="B337" s="46"/>
      <c r="C337" s="39"/>
      <c r="D337" s="39"/>
      <c r="E337" s="43">
        <f t="shared" si="8"/>
        <v>0</v>
      </c>
      <c r="F337" s="42" t="str">
        <f t="shared" si="9"/>
        <v></v>
      </c>
      <c r="G337" s="39"/>
      <c r="I337" s="44"/>
    </row>
    <row r="338" spans="1:9" ht="18.25" customHeight="1">
      <c r="A338" s="39">
        <v>332</v>
      </c>
      <c r="B338" s="46"/>
      <c r="C338" s="39"/>
      <c r="D338" s="39"/>
      <c r="E338" s="43">
        <f t="shared" si="8"/>
        <v>0</v>
      </c>
      <c r="F338" s="42" t="str">
        <f t="shared" si="9"/>
        <v></v>
      </c>
      <c r="G338" s="39"/>
      <c r="I338" s="44"/>
    </row>
    <row r="339" spans="1:9" ht="18.25" customHeight="1">
      <c r="A339" s="39">
        <v>333</v>
      </c>
      <c r="B339" s="46"/>
      <c r="C339" s="39"/>
      <c r="D339" s="39"/>
      <c r="E339" s="43">
        <f t="shared" ref="E339:E402" si="10">IFERROR(D339/C339,0)</f>
        <v>0</v>
      </c>
      <c r="F339" s="42" t="str">
        <f t="shared" ref="F339:F402" si="11">IF(E339&lt;=0.15,"","")</f>
        <v></v>
      </c>
      <c r="G339" s="39"/>
      <c r="I339" s="44"/>
    </row>
    <row r="340" spans="1:9" ht="18.25" customHeight="1">
      <c r="A340" s="39">
        <v>334</v>
      </c>
      <c r="B340" s="46"/>
      <c r="C340" s="39"/>
      <c r="D340" s="39"/>
      <c r="E340" s="43">
        <f t="shared" si="10"/>
        <v>0</v>
      </c>
      <c r="F340" s="42" t="str">
        <f t="shared" si="11"/>
        <v></v>
      </c>
      <c r="G340" s="39"/>
      <c r="I340" s="44"/>
    </row>
    <row r="341" spans="1:9" ht="18.25" customHeight="1">
      <c r="A341" s="39">
        <v>335</v>
      </c>
      <c r="B341" s="46"/>
      <c r="C341" s="39"/>
      <c r="D341" s="39"/>
      <c r="E341" s="43">
        <f t="shared" si="10"/>
        <v>0</v>
      </c>
      <c r="F341" s="42" t="str">
        <f t="shared" si="11"/>
        <v></v>
      </c>
      <c r="G341" s="39"/>
      <c r="I341" s="44"/>
    </row>
    <row r="342" spans="1:9" ht="18.25" customHeight="1">
      <c r="A342" s="39">
        <v>336</v>
      </c>
      <c r="B342" s="46"/>
      <c r="C342" s="39"/>
      <c r="D342" s="39"/>
      <c r="E342" s="43">
        <f t="shared" si="10"/>
        <v>0</v>
      </c>
      <c r="F342" s="42" t="str">
        <f t="shared" si="11"/>
        <v></v>
      </c>
      <c r="G342" s="39"/>
      <c r="I342" s="44"/>
    </row>
    <row r="343" spans="1:9" ht="18.25" customHeight="1">
      <c r="A343" s="39">
        <v>337</v>
      </c>
      <c r="B343" s="46"/>
      <c r="C343" s="39"/>
      <c r="D343" s="39"/>
      <c r="E343" s="43">
        <f t="shared" si="10"/>
        <v>0</v>
      </c>
      <c r="F343" s="42" t="str">
        <f t="shared" si="11"/>
        <v></v>
      </c>
      <c r="G343" s="39"/>
      <c r="I343" s="44"/>
    </row>
    <row r="344" spans="1:9" ht="18.25" customHeight="1">
      <c r="A344" s="39">
        <v>338</v>
      </c>
      <c r="B344" s="46"/>
      <c r="C344" s="39"/>
      <c r="D344" s="39"/>
      <c r="E344" s="43">
        <f t="shared" si="10"/>
        <v>0</v>
      </c>
      <c r="F344" s="42" t="str">
        <f t="shared" si="11"/>
        <v></v>
      </c>
      <c r="G344" s="39"/>
      <c r="I344" s="44"/>
    </row>
    <row r="345" spans="1:9" ht="18.25" customHeight="1">
      <c r="A345" s="39">
        <v>339</v>
      </c>
      <c r="B345" s="46"/>
      <c r="C345" s="39"/>
      <c r="D345" s="39"/>
      <c r="E345" s="43">
        <f t="shared" si="10"/>
        <v>0</v>
      </c>
      <c r="F345" s="42" t="str">
        <f t="shared" si="11"/>
        <v></v>
      </c>
      <c r="G345" s="39"/>
      <c r="I345" s="44"/>
    </row>
    <row r="346" spans="1:9" ht="18.25" customHeight="1">
      <c r="A346" s="39">
        <v>340</v>
      </c>
      <c r="B346" s="46"/>
      <c r="C346" s="39"/>
      <c r="D346" s="39"/>
      <c r="E346" s="43">
        <f t="shared" si="10"/>
        <v>0</v>
      </c>
      <c r="F346" s="42" t="str">
        <f t="shared" si="11"/>
        <v></v>
      </c>
      <c r="G346" s="39"/>
      <c r="I346" s="44"/>
    </row>
    <row r="347" spans="1:9" ht="18.25" customHeight="1">
      <c r="A347" s="39">
        <v>341</v>
      </c>
      <c r="B347" s="46"/>
      <c r="C347" s="39"/>
      <c r="D347" s="39"/>
      <c r="E347" s="43">
        <f t="shared" si="10"/>
        <v>0</v>
      </c>
      <c r="F347" s="42" t="str">
        <f t="shared" si="11"/>
        <v></v>
      </c>
      <c r="G347" s="39"/>
      <c r="I347" s="44"/>
    </row>
    <row r="348" spans="1:9" ht="18.25" customHeight="1">
      <c r="A348" s="39">
        <v>342</v>
      </c>
      <c r="B348" s="46"/>
      <c r="C348" s="39"/>
      <c r="D348" s="39"/>
      <c r="E348" s="43">
        <f t="shared" si="10"/>
        <v>0</v>
      </c>
      <c r="F348" s="42" t="str">
        <f t="shared" si="11"/>
        <v></v>
      </c>
      <c r="G348" s="39"/>
      <c r="I348" s="44"/>
    </row>
    <row r="349" spans="1:9" ht="18.25" customHeight="1">
      <c r="A349" s="39">
        <v>343</v>
      </c>
      <c r="B349" s="46"/>
      <c r="C349" s="39"/>
      <c r="D349" s="39"/>
      <c r="E349" s="43">
        <f t="shared" si="10"/>
        <v>0</v>
      </c>
      <c r="F349" s="42" t="str">
        <f t="shared" si="11"/>
        <v></v>
      </c>
      <c r="G349" s="39"/>
      <c r="I349" s="44"/>
    </row>
    <row r="350" spans="1:9" ht="18.25" customHeight="1">
      <c r="A350" s="39">
        <v>344</v>
      </c>
      <c r="B350" s="46"/>
      <c r="C350" s="39"/>
      <c r="D350" s="39"/>
      <c r="E350" s="43">
        <f t="shared" si="10"/>
        <v>0</v>
      </c>
      <c r="F350" s="42" t="str">
        <f t="shared" si="11"/>
        <v></v>
      </c>
      <c r="G350" s="39"/>
      <c r="I350" s="44"/>
    </row>
    <row r="351" spans="1:9" ht="18.25" customHeight="1">
      <c r="A351" s="39">
        <v>345</v>
      </c>
      <c r="B351" s="46"/>
      <c r="C351" s="39"/>
      <c r="D351" s="39"/>
      <c r="E351" s="43">
        <f t="shared" si="10"/>
        <v>0</v>
      </c>
      <c r="F351" s="42" t="str">
        <f t="shared" si="11"/>
        <v></v>
      </c>
      <c r="G351" s="39"/>
      <c r="I351" s="44"/>
    </row>
    <row r="352" spans="1:9" ht="18.25" customHeight="1">
      <c r="A352" s="39">
        <v>346</v>
      </c>
      <c r="B352" s="46"/>
      <c r="C352" s="39"/>
      <c r="D352" s="39"/>
      <c r="E352" s="43">
        <f t="shared" si="10"/>
        <v>0</v>
      </c>
      <c r="F352" s="42" t="str">
        <f t="shared" si="11"/>
        <v></v>
      </c>
      <c r="G352" s="39"/>
      <c r="I352" s="44"/>
    </row>
    <row r="353" spans="1:9" ht="18.25" customHeight="1">
      <c r="A353" s="39">
        <v>347</v>
      </c>
      <c r="B353" s="46"/>
      <c r="C353" s="39"/>
      <c r="D353" s="39"/>
      <c r="E353" s="43">
        <f t="shared" si="10"/>
        <v>0</v>
      </c>
      <c r="F353" s="42" t="str">
        <f t="shared" si="11"/>
        <v></v>
      </c>
      <c r="G353" s="39"/>
      <c r="I353" s="44"/>
    </row>
    <row r="354" spans="1:9" ht="18.25" customHeight="1">
      <c r="A354" s="39">
        <v>348</v>
      </c>
      <c r="B354" s="46"/>
      <c r="C354" s="39"/>
      <c r="D354" s="39"/>
      <c r="E354" s="43">
        <f t="shared" si="10"/>
        <v>0</v>
      </c>
      <c r="F354" s="42" t="str">
        <f t="shared" si="11"/>
        <v></v>
      </c>
      <c r="G354" s="39"/>
      <c r="I354" s="44"/>
    </row>
    <row r="355" spans="1:9" ht="18.25" customHeight="1">
      <c r="A355" s="39">
        <v>349</v>
      </c>
      <c r="B355" s="46"/>
      <c r="C355" s="39"/>
      <c r="D355" s="39"/>
      <c r="E355" s="43">
        <f t="shared" si="10"/>
        <v>0</v>
      </c>
      <c r="F355" s="42" t="str">
        <f t="shared" si="11"/>
        <v></v>
      </c>
      <c r="G355" s="39"/>
      <c r="I355" s="44"/>
    </row>
    <row r="356" spans="1:9" ht="18.25" customHeight="1">
      <c r="A356" s="39">
        <v>350</v>
      </c>
      <c r="B356" s="46"/>
      <c r="C356" s="39"/>
      <c r="D356" s="39"/>
      <c r="E356" s="43">
        <f t="shared" si="10"/>
        <v>0</v>
      </c>
      <c r="F356" s="42" t="str">
        <f t="shared" si="11"/>
        <v></v>
      </c>
      <c r="G356" s="39"/>
      <c r="I356" s="44"/>
    </row>
    <row r="357" spans="1:9" ht="18.25" customHeight="1">
      <c r="A357" s="39">
        <v>351</v>
      </c>
      <c r="B357" s="46"/>
      <c r="C357" s="39"/>
      <c r="D357" s="39"/>
      <c r="E357" s="43">
        <f t="shared" si="10"/>
        <v>0</v>
      </c>
      <c r="F357" s="42" t="str">
        <f t="shared" si="11"/>
        <v></v>
      </c>
      <c r="G357" s="39"/>
      <c r="I357" s="44"/>
    </row>
    <row r="358" spans="1:9" ht="18.25" customHeight="1">
      <c r="A358" s="39">
        <v>352</v>
      </c>
      <c r="B358" s="46"/>
      <c r="C358" s="39"/>
      <c r="D358" s="39"/>
      <c r="E358" s="43">
        <f t="shared" si="10"/>
        <v>0</v>
      </c>
      <c r="F358" s="42" t="str">
        <f t="shared" si="11"/>
        <v></v>
      </c>
      <c r="G358" s="39"/>
      <c r="I358" s="44"/>
    </row>
    <row r="359" spans="1:9" ht="18.25" customHeight="1">
      <c r="A359" s="39">
        <v>353</v>
      </c>
      <c r="B359" s="46"/>
      <c r="C359" s="39"/>
      <c r="D359" s="39"/>
      <c r="E359" s="43">
        <f t="shared" si="10"/>
        <v>0</v>
      </c>
      <c r="F359" s="42" t="str">
        <f t="shared" si="11"/>
        <v></v>
      </c>
      <c r="G359" s="39"/>
      <c r="I359" s="44"/>
    </row>
    <row r="360" spans="1:9" ht="18.25" customHeight="1">
      <c r="A360" s="39">
        <v>354</v>
      </c>
      <c r="B360" s="46"/>
      <c r="C360" s="39"/>
      <c r="D360" s="39"/>
      <c r="E360" s="43">
        <f t="shared" si="10"/>
        <v>0</v>
      </c>
      <c r="F360" s="42" t="str">
        <f t="shared" si="11"/>
        <v></v>
      </c>
      <c r="G360" s="39"/>
      <c r="I360" s="44"/>
    </row>
    <row r="361" spans="1:9" ht="18.25" customHeight="1">
      <c r="A361" s="39">
        <v>355</v>
      </c>
      <c r="B361" s="46"/>
      <c r="C361" s="39"/>
      <c r="D361" s="39"/>
      <c r="E361" s="43">
        <f t="shared" si="10"/>
        <v>0</v>
      </c>
      <c r="F361" s="42" t="str">
        <f t="shared" si="11"/>
        <v></v>
      </c>
      <c r="G361" s="39"/>
      <c r="I361" s="44"/>
    </row>
    <row r="362" spans="1:9" ht="18.25" customHeight="1">
      <c r="A362" s="39">
        <v>356</v>
      </c>
      <c r="B362" s="46"/>
      <c r="C362" s="39"/>
      <c r="D362" s="39"/>
      <c r="E362" s="43">
        <f t="shared" si="10"/>
        <v>0</v>
      </c>
      <c r="F362" s="42" t="str">
        <f t="shared" si="11"/>
        <v></v>
      </c>
      <c r="G362" s="39"/>
      <c r="I362" s="44"/>
    </row>
    <row r="363" spans="1:9" ht="18.25" customHeight="1">
      <c r="A363" s="39">
        <v>357</v>
      </c>
      <c r="B363" s="46"/>
      <c r="C363" s="39"/>
      <c r="D363" s="39"/>
      <c r="E363" s="43">
        <f t="shared" si="10"/>
        <v>0</v>
      </c>
      <c r="F363" s="42" t="str">
        <f t="shared" si="11"/>
        <v></v>
      </c>
      <c r="G363" s="39"/>
      <c r="I363" s="44"/>
    </row>
    <row r="364" spans="1:9" ht="18.25" customHeight="1">
      <c r="A364" s="39">
        <v>358</v>
      </c>
      <c r="B364" s="46"/>
      <c r="C364" s="39"/>
      <c r="D364" s="39"/>
      <c r="E364" s="43">
        <f t="shared" si="10"/>
        <v>0</v>
      </c>
      <c r="F364" s="42" t="str">
        <f t="shared" si="11"/>
        <v></v>
      </c>
      <c r="G364" s="39"/>
      <c r="I364" s="44"/>
    </row>
    <row r="365" spans="1:9" ht="18.25" customHeight="1">
      <c r="A365" s="39">
        <v>359</v>
      </c>
      <c r="B365" s="46"/>
      <c r="C365" s="39"/>
      <c r="D365" s="39"/>
      <c r="E365" s="43">
        <f t="shared" si="10"/>
        <v>0</v>
      </c>
      <c r="F365" s="42" t="str">
        <f t="shared" si="11"/>
        <v></v>
      </c>
      <c r="G365" s="39"/>
      <c r="I365" s="44"/>
    </row>
    <row r="366" spans="1:9" ht="18.25" customHeight="1">
      <c r="A366" s="39">
        <v>360</v>
      </c>
      <c r="B366" s="46"/>
      <c r="C366" s="39"/>
      <c r="D366" s="39"/>
      <c r="E366" s="43">
        <f t="shared" si="10"/>
        <v>0</v>
      </c>
      <c r="F366" s="42" t="str">
        <f t="shared" si="11"/>
        <v></v>
      </c>
      <c r="G366" s="39"/>
      <c r="I366" s="44"/>
    </row>
    <row r="367" spans="1:9" ht="18.25" customHeight="1">
      <c r="A367" s="39">
        <v>361</v>
      </c>
      <c r="B367" s="46"/>
      <c r="C367" s="39"/>
      <c r="D367" s="39"/>
      <c r="E367" s="43">
        <f t="shared" si="10"/>
        <v>0</v>
      </c>
      <c r="F367" s="42" t="str">
        <f t="shared" si="11"/>
        <v></v>
      </c>
      <c r="G367" s="39"/>
      <c r="I367" s="44"/>
    </row>
    <row r="368" spans="1:9" ht="18.25" customHeight="1">
      <c r="A368" s="39">
        <v>362</v>
      </c>
      <c r="B368" s="46"/>
      <c r="C368" s="39"/>
      <c r="D368" s="39"/>
      <c r="E368" s="43">
        <f t="shared" si="10"/>
        <v>0</v>
      </c>
      <c r="F368" s="42" t="str">
        <f t="shared" si="11"/>
        <v></v>
      </c>
      <c r="G368" s="39"/>
      <c r="I368" s="44"/>
    </row>
    <row r="369" spans="1:9" ht="18.25" customHeight="1">
      <c r="A369" s="39">
        <v>363</v>
      </c>
      <c r="B369" s="46"/>
      <c r="C369" s="39"/>
      <c r="D369" s="39"/>
      <c r="E369" s="43">
        <f t="shared" si="10"/>
        <v>0</v>
      </c>
      <c r="F369" s="42" t="str">
        <f t="shared" si="11"/>
        <v></v>
      </c>
      <c r="G369" s="39"/>
      <c r="I369" s="44"/>
    </row>
    <row r="370" spans="1:9" ht="18.25" customHeight="1">
      <c r="A370" s="39">
        <v>364</v>
      </c>
      <c r="B370" s="46"/>
      <c r="C370" s="39"/>
      <c r="D370" s="39"/>
      <c r="E370" s="43">
        <f t="shared" si="10"/>
        <v>0</v>
      </c>
      <c r="F370" s="42" t="str">
        <f t="shared" si="11"/>
        <v></v>
      </c>
      <c r="G370" s="39"/>
      <c r="I370" s="44"/>
    </row>
    <row r="371" spans="1:9" ht="18.25" customHeight="1">
      <c r="A371" s="39">
        <v>365</v>
      </c>
      <c r="B371" s="46"/>
      <c r="C371" s="39"/>
      <c r="D371" s="39"/>
      <c r="E371" s="43">
        <f t="shared" si="10"/>
        <v>0</v>
      </c>
      <c r="F371" s="42" t="str">
        <f t="shared" si="11"/>
        <v></v>
      </c>
      <c r="G371" s="39"/>
      <c r="I371" s="44"/>
    </row>
    <row r="372" spans="1:9" ht="18.25" customHeight="1">
      <c r="A372" s="39">
        <v>366</v>
      </c>
      <c r="B372" s="46"/>
      <c r="C372" s="39"/>
      <c r="D372" s="39"/>
      <c r="E372" s="43">
        <f t="shared" si="10"/>
        <v>0</v>
      </c>
      <c r="F372" s="42" t="str">
        <f t="shared" si="11"/>
        <v></v>
      </c>
      <c r="G372" s="39"/>
      <c r="I372" s="44"/>
    </row>
    <row r="373" spans="1:9" ht="18.25" customHeight="1">
      <c r="A373" s="39">
        <v>367</v>
      </c>
      <c r="B373" s="46"/>
      <c r="C373" s="39"/>
      <c r="D373" s="39"/>
      <c r="E373" s="43">
        <f t="shared" si="10"/>
        <v>0</v>
      </c>
      <c r="F373" s="42" t="str">
        <f t="shared" si="11"/>
        <v></v>
      </c>
      <c r="G373" s="39"/>
      <c r="I373" s="44"/>
    </row>
    <row r="374" spans="1:9" ht="18.25" customHeight="1">
      <c r="A374" s="39">
        <v>368</v>
      </c>
      <c r="B374" s="46"/>
      <c r="C374" s="39"/>
      <c r="D374" s="39"/>
      <c r="E374" s="43">
        <f t="shared" si="10"/>
        <v>0</v>
      </c>
      <c r="F374" s="42" t="str">
        <f t="shared" si="11"/>
        <v></v>
      </c>
      <c r="G374" s="39"/>
      <c r="I374" s="44"/>
    </row>
    <row r="375" spans="1:9" ht="18.25" customHeight="1">
      <c r="A375" s="39">
        <v>369</v>
      </c>
      <c r="B375" s="46"/>
      <c r="C375" s="39"/>
      <c r="D375" s="39"/>
      <c r="E375" s="43">
        <f t="shared" si="10"/>
        <v>0</v>
      </c>
      <c r="F375" s="42" t="str">
        <f t="shared" si="11"/>
        <v></v>
      </c>
      <c r="G375" s="39"/>
      <c r="I375" s="44"/>
    </row>
    <row r="376" spans="1:9" ht="18.25" customHeight="1">
      <c r="A376" s="39">
        <v>370</v>
      </c>
      <c r="B376" s="46"/>
      <c r="C376" s="39"/>
      <c r="D376" s="39"/>
      <c r="E376" s="43">
        <f t="shared" si="10"/>
        <v>0</v>
      </c>
      <c r="F376" s="42" t="str">
        <f t="shared" si="11"/>
        <v></v>
      </c>
      <c r="G376" s="39"/>
      <c r="I376" s="44"/>
    </row>
    <row r="377" spans="1:9" ht="18.25" customHeight="1">
      <c r="A377" s="39">
        <v>371</v>
      </c>
      <c r="B377" s="46"/>
      <c r="C377" s="39"/>
      <c r="D377" s="39"/>
      <c r="E377" s="43">
        <f t="shared" si="10"/>
        <v>0</v>
      </c>
      <c r="F377" s="42" t="str">
        <f t="shared" si="11"/>
        <v></v>
      </c>
      <c r="G377" s="39"/>
      <c r="I377" s="44"/>
    </row>
    <row r="378" spans="1:9" ht="18.25" customHeight="1">
      <c r="A378" s="39">
        <v>372</v>
      </c>
      <c r="B378" s="46"/>
      <c r="C378" s="39"/>
      <c r="D378" s="39"/>
      <c r="E378" s="43">
        <f t="shared" si="10"/>
        <v>0</v>
      </c>
      <c r="F378" s="42" t="str">
        <f t="shared" si="11"/>
        <v></v>
      </c>
      <c r="G378" s="39"/>
      <c r="I378" s="44"/>
    </row>
    <row r="379" spans="1:9" ht="18.25" customHeight="1">
      <c r="A379" s="39">
        <v>373</v>
      </c>
      <c r="B379" s="46"/>
      <c r="C379" s="39"/>
      <c r="D379" s="39"/>
      <c r="E379" s="43">
        <f t="shared" si="10"/>
        <v>0</v>
      </c>
      <c r="F379" s="42" t="str">
        <f t="shared" si="11"/>
        <v></v>
      </c>
      <c r="G379" s="39"/>
      <c r="I379" s="44"/>
    </row>
    <row r="380" spans="1:9" ht="18.25" customHeight="1">
      <c r="A380" s="39">
        <v>374</v>
      </c>
      <c r="B380" s="46"/>
      <c r="C380" s="39"/>
      <c r="D380" s="39"/>
      <c r="E380" s="43">
        <f t="shared" si="10"/>
        <v>0</v>
      </c>
      <c r="F380" s="42" t="str">
        <f t="shared" si="11"/>
        <v></v>
      </c>
      <c r="G380" s="39"/>
      <c r="I380" s="44"/>
    </row>
    <row r="381" spans="1:9" ht="18.25" customHeight="1">
      <c r="A381" s="39">
        <v>375</v>
      </c>
      <c r="B381" s="46"/>
      <c r="C381" s="39"/>
      <c r="D381" s="39"/>
      <c r="E381" s="43">
        <f t="shared" si="10"/>
        <v>0</v>
      </c>
      <c r="F381" s="42" t="str">
        <f t="shared" si="11"/>
        <v></v>
      </c>
      <c r="G381" s="39"/>
      <c r="I381" s="44"/>
    </row>
    <row r="382" spans="1:9" ht="18.25" customHeight="1">
      <c r="A382" s="39">
        <v>376</v>
      </c>
      <c r="B382" s="46"/>
      <c r="C382" s="39"/>
      <c r="D382" s="39"/>
      <c r="E382" s="43">
        <f t="shared" si="10"/>
        <v>0</v>
      </c>
      <c r="F382" s="42" t="str">
        <f t="shared" si="11"/>
        <v></v>
      </c>
      <c r="G382" s="39"/>
      <c r="I382" s="44"/>
    </row>
    <row r="383" spans="1:9" ht="18.25" customHeight="1">
      <c r="A383" s="39">
        <v>377</v>
      </c>
      <c r="B383" s="46"/>
      <c r="C383" s="39"/>
      <c r="D383" s="39"/>
      <c r="E383" s="43">
        <f t="shared" si="10"/>
        <v>0</v>
      </c>
      <c r="F383" s="42" t="str">
        <f t="shared" si="11"/>
        <v></v>
      </c>
      <c r="G383" s="39"/>
      <c r="I383" s="44"/>
    </row>
    <row r="384" spans="1:9" ht="18.25" customHeight="1">
      <c r="A384" s="39">
        <v>378</v>
      </c>
      <c r="B384" s="46"/>
      <c r="C384" s="39"/>
      <c r="D384" s="39"/>
      <c r="E384" s="43">
        <f t="shared" si="10"/>
        <v>0</v>
      </c>
      <c r="F384" s="42" t="str">
        <f t="shared" si="11"/>
        <v></v>
      </c>
      <c r="G384" s="39"/>
      <c r="I384" s="44"/>
    </row>
    <row r="385" spans="1:9" ht="18.25" customHeight="1">
      <c r="A385" s="39">
        <v>379</v>
      </c>
      <c r="B385" s="46"/>
      <c r="C385" s="39"/>
      <c r="D385" s="39"/>
      <c r="E385" s="43">
        <f t="shared" si="10"/>
        <v>0</v>
      </c>
      <c r="F385" s="42" t="str">
        <f t="shared" si="11"/>
        <v></v>
      </c>
      <c r="G385" s="39"/>
      <c r="I385" s="44"/>
    </row>
    <row r="386" spans="1:9" ht="18.25" customHeight="1">
      <c r="A386" s="39">
        <v>380</v>
      </c>
      <c r="B386" s="46"/>
      <c r="C386" s="39"/>
      <c r="D386" s="39"/>
      <c r="E386" s="43">
        <f t="shared" si="10"/>
        <v>0</v>
      </c>
      <c r="F386" s="42" t="str">
        <f t="shared" si="11"/>
        <v></v>
      </c>
      <c r="G386" s="39"/>
      <c r="I386" s="44"/>
    </row>
    <row r="387" spans="1:9" ht="18.25" customHeight="1">
      <c r="A387" s="39">
        <v>381</v>
      </c>
      <c r="B387" s="46"/>
      <c r="C387" s="39"/>
      <c r="D387" s="39"/>
      <c r="E387" s="43">
        <f t="shared" si="10"/>
        <v>0</v>
      </c>
      <c r="F387" s="42" t="str">
        <f t="shared" si="11"/>
        <v></v>
      </c>
      <c r="G387" s="39"/>
      <c r="I387" s="44"/>
    </row>
    <row r="388" spans="1:9" ht="18.25" customHeight="1">
      <c r="A388" s="39">
        <v>382</v>
      </c>
      <c r="B388" s="46"/>
      <c r="C388" s="39"/>
      <c r="D388" s="39"/>
      <c r="E388" s="43">
        <f t="shared" si="10"/>
        <v>0</v>
      </c>
      <c r="F388" s="42" t="str">
        <f t="shared" si="11"/>
        <v></v>
      </c>
      <c r="G388" s="39"/>
      <c r="I388" s="44"/>
    </row>
    <row r="389" spans="1:9" ht="18.25" customHeight="1">
      <c r="A389" s="39">
        <v>383</v>
      </c>
      <c r="B389" s="46"/>
      <c r="C389" s="39"/>
      <c r="D389" s="39"/>
      <c r="E389" s="43">
        <f t="shared" si="10"/>
        <v>0</v>
      </c>
      <c r="F389" s="42" t="str">
        <f t="shared" si="11"/>
        <v></v>
      </c>
      <c r="G389" s="39"/>
      <c r="I389" s="44"/>
    </row>
    <row r="390" spans="1:9" ht="18.25" customHeight="1">
      <c r="A390" s="39">
        <v>384</v>
      </c>
      <c r="B390" s="46"/>
      <c r="C390" s="39"/>
      <c r="D390" s="39"/>
      <c r="E390" s="43">
        <f t="shared" si="10"/>
        <v>0</v>
      </c>
      <c r="F390" s="42" t="str">
        <f t="shared" si="11"/>
        <v></v>
      </c>
      <c r="G390" s="39"/>
      <c r="I390" s="44"/>
    </row>
    <row r="391" spans="1:9" ht="18.25" customHeight="1">
      <c r="A391" s="39">
        <v>385</v>
      </c>
      <c r="B391" s="46"/>
      <c r="C391" s="39"/>
      <c r="D391" s="39"/>
      <c r="E391" s="43">
        <f t="shared" si="10"/>
        <v>0</v>
      </c>
      <c r="F391" s="42" t="str">
        <f t="shared" si="11"/>
        <v></v>
      </c>
      <c r="G391" s="39"/>
      <c r="I391" s="44"/>
    </row>
    <row r="392" spans="1:9" ht="18.25" customHeight="1">
      <c r="A392" s="39">
        <v>386</v>
      </c>
      <c r="B392" s="46"/>
      <c r="C392" s="39"/>
      <c r="D392" s="39"/>
      <c r="E392" s="43">
        <f t="shared" si="10"/>
        <v>0</v>
      </c>
      <c r="F392" s="42" t="str">
        <f t="shared" si="11"/>
        <v></v>
      </c>
      <c r="G392" s="39"/>
      <c r="I392" s="44"/>
    </row>
    <row r="393" spans="1:9" ht="18.25" customHeight="1">
      <c r="A393" s="39">
        <v>387</v>
      </c>
      <c r="B393" s="46"/>
      <c r="C393" s="39"/>
      <c r="D393" s="39"/>
      <c r="E393" s="43">
        <f t="shared" si="10"/>
        <v>0</v>
      </c>
      <c r="F393" s="42" t="str">
        <f t="shared" si="11"/>
        <v></v>
      </c>
      <c r="G393" s="39"/>
      <c r="I393" s="44"/>
    </row>
    <row r="394" spans="1:9" ht="18.25" customHeight="1">
      <c r="A394" s="39">
        <v>388</v>
      </c>
      <c r="B394" s="46"/>
      <c r="C394" s="39"/>
      <c r="D394" s="39"/>
      <c r="E394" s="43">
        <f t="shared" si="10"/>
        <v>0</v>
      </c>
      <c r="F394" s="42" t="str">
        <f t="shared" si="11"/>
        <v></v>
      </c>
      <c r="G394" s="39"/>
      <c r="I394" s="44"/>
    </row>
    <row r="395" spans="1:9" ht="18.25" customHeight="1">
      <c r="A395" s="39">
        <v>389</v>
      </c>
      <c r="B395" s="46"/>
      <c r="C395" s="39"/>
      <c r="D395" s="39"/>
      <c r="E395" s="43">
        <f t="shared" si="10"/>
        <v>0</v>
      </c>
      <c r="F395" s="42" t="str">
        <f t="shared" si="11"/>
        <v></v>
      </c>
      <c r="G395" s="39"/>
      <c r="I395" s="44"/>
    </row>
    <row r="396" spans="1:9" ht="18.25" customHeight="1">
      <c r="A396" s="39">
        <v>390</v>
      </c>
      <c r="B396" s="46"/>
      <c r="C396" s="39"/>
      <c r="D396" s="39"/>
      <c r="E396" s="43">
        <f t="shared" si="10"/>
        <v>0</v>
      </c>
      <c r="F396" s="42" t="str">
        <f t="shared" si="11"/>
        <v></v>
      </c>
      <c r="G396" s="39"/>
      <c r="I396" s="44"/>
    </row>
    <row r="397" spans="1:9" ht="18.25" customHeight="1">
      <c r="A397" s="39">
        <v>391</v>
      </c>
      <c r="B397" s="46"/>
      <c r="C397" s="39"/>
      <c r="D397" s="39"/>
      <c r="E397" s="43">
        <f t="shared" si="10"/>
        <v>0</v>
      </c>
      <c r="F397" s="42" t="str">
        <f t="shared" si="11"/>
        <v></v>
      </c>
      <c r="G397" s="39"/>
      <c r="I397" s="44"/>
    </row>
    <row r="398" spans="1:9" ht="18.25" customHeight="1">
      <c r="A398" s="39">
        <v>392</v>
      </c>
      <c r="B398" s="46"/>
      <c r="C398" s="39"/>
      <c r="D398" s="39"/>
      <c r="E398" s="43">
        <f t="shared" si="10"/>
        <v>0</v>
      </c>
      <c r="F398" s="42" t="str">
        <f t="shared" si="11"/>
        <v></v>
      </c>
      <c r="G398" s="39"/>
      <c r="I398" s="44"/>
    </row>
    <row r="399" spans="1:9" ht="18.25" customHeight="1">
      <c r="A399" s="39">
        <v>393</v>
      </c>
      <c r="B399" s="46"/>
      <c r="C399" s="39"/>
      <c r="D399" s="39"/>
      <c r="E399" s="43">
        <f t="shared" si="10"/>
        <v>0</v>
      </c>
      <c r="F399" s="42" t="str">
        <f t="shared" si="11"/>
        <v></v>
      </c>
      <c r="G399" s="39"/>
      <c r="I399" s="44"/>
    </row>
    <row r="400" spans="1:9" ht="18.25" customHeight="1">
      <c r="A400" s="39">
        <v>394</v>
      </c>
      <c r="B400" s="46"/>
      <c r="C400" s="39"/>
      <c r="D400" s="39"/>
      <c r="E400" s="43">
        <f t="shared" si="10"/>
        <v>0</v>
      </c>
      <c r="F400" s="42" t="str">
        <f t="shared" si="11"/>
        <v></v>
      </c>
      <c r="G400" s="39"/>
      <c r="I400" s="44"/>
    </row>
    <row r="401" spans="1:9" ht="18.25" customHeight="1">
      <c r="A401" s="39">
        <v>395</v>
      </c>
      <c r="B401" s="46"/>
      <c r="C401" s="39"/>
      <c r="D401" s="39"/>
      <c r="E401" s="43">
        <f t="shared" si="10"/>
        <v>0</v>
      </c>
      <c r="F401" s="42" t="str">
        <f t="shared" si="11"/>
        <v></v>
      </c>
      <c r="G401" s="39"/>
      <c r="I401" s="44"/>
    </row>
    <row r="402" spans="1:9" ht="18.25" customHeight="1">
      <c r="A402" s="39">
        <v>396</v>
      </c>
      <c r="B402" s="46"/>
      <c r="C402" s="39"/>
      <c r="D402" s="39"/>
      <c r="E402" s="43">
        <f t="shared" si="10"/>
        <v>0</v>
      </c>
      <c r="F402" s="42" t="str">
        <f t="shared" si="11"/>
        <v></v>
      </c>
      <c r="G402" s="39"/>
      <c r="I402" s="44"/>
    </row>
    <row r="403" spans="1:9" ht="18.25" customHeight="1">
      <c r="A403" s="39">
        <v>397</v>
      </c>
      <c r="B403" s="46"/>
      <c r="C403" s="39"/>
      <c r="D403" s="39"/>
      <c r="E403" s="43">
        <f t="shared" ref="E403:E466" si="12">IFERROR(D403/C403,0)</f>
        <v>0</v>
      </c>
      <c r="F403" s="42" t="str">
        <f t="shared" ref="F403:F466" si="13">IF(E403&lt;=0.15,"","")</f>
        <v></v>
      </c>
      <c r="G403" s="39"/>
      <c r="I403" s="44"/>
    </row>
    <row r="404" spans="1:9" ht="18.25" customHeight="1">
      <c r="A404" s="39">
        <v>398</v>
      </c>
      <c r="B404" s="46"/>
      <c r="C404" s="39"/>
      <c r="D404" s="39"/>
      <c r="E404" s="43">
        <f t="shared" si="12"/>
        <v>0</v>
      </c>
      <c r="F404" s="42" t="str">
        <f t="shared" si="13"/>
        <v></v>
      </c>
      <c r="G404" s="39"/>
      <c r="I404" s="44"/>
    </row>
    <row r="405" spans="1:9" ht="18.25" customHeight="1">
      <c r="A405" s="39">
        <v>399</v>
      </c>
      <c r="B405" s="46"/>
      <c r="C405" s="39"/>
      <c r="D405" s="39"/>
      <c r="E405" s="43">
        <f t="shared" si="12"/>
        <v>0</v>
      </c>
      <c r="F405" s="42" t="str">
        <f t="shared" si="13"/>
        <v></v>
      </c>
      <c r="G405" s="39"/>
      <c r="I405" s="44"/>
    </row>
    <row r="406" spans="1:9" ht="18.25" customHeight="1">
      <c r="A406" s="39">
        <v>400</v>
      </c>
      <c r="B406" s="46"/>
      <c r="C406" s="39"/>
      <c r="D406" s="39"/>
      <c r="E406" s="43">
        <f t="shared" si="12"/>
        <v>0</v>
      </c>
      <c r="F406" s="42" t="str">
        <f t="shared" si="13"/>
        <v></v>
      </c>
      <c r="G406" s="39"/>
      <c r="I406" s="44"/>
    </row>
    <row r="407" spans="1:9" ht="18.25" customHeight="1">
      <c r="A407" s="39">
        <v>401</v>
      </c>
      <c r="B407" s="46"/>
      <c r="C407" s="39"/>
      <c r="D407" s="39"/>
      <c r="E407" s="43">
        <f t="shared" si="12"/>
        <v>0</v>
      </c>
      <c r="F407" s="42" t="str">
        <f t="shared" si="13"/>
        <v></v>
      </c>
      <c r="G407" s="39"/>
      <c r="I407" s="44"/>
    </row>
    <row r="408" spans="1:9" ht="18.25" customHeight="1">
      <c r="A408" s="39">
        <v>402</v>
      </c>
      <c r="B408" s="46"/>
      <c r="C408" s="39"/>
      <c r="D408" s="39"/>
      <c r="E408" s="43">
        <f t="shared" si="12"/>
        <v>0</v>
      </c>
      <c r="F408" s="42" t="str">
        <f t="shared" si="13"/>
        <v></v>
      </c>
      <c r="G408" s="39"/>
      <c r="I408" s="44"/>
    </row>
    <row r="409" spans="1:9" ht="18.25" customHeight="1">
      <c r="A409" s="39">
        <v>403</v>
      </c>
      <c r="B409" s="46"/>
      <c r="C409" s="39"/>
      <c r="D409" s="39"/>
      <c r="E409" s="43">
        <f t="shared" si="12"/>
        <v>0</v>
      </c>
      <c r="F409" s="42" t="str">
        <f t="shared" si="13"/>
        <v></v>
      </c>
      <c r="G409" s="39"/>
      <c r="I409" s="44"/>
    </row>
    <row r="410" spans="1:9" ht="18.25" customHeight="1">
      <c r="A410" s="39">
        <v>404</v>
      </c>
      <c r="B410" s="46"/>
      <c r="C410" s="39"/>
      <c r="D410" s="39"/>
      <c r="E410" s="43">
        <f t="shared" si="12"/>
        <v>0</v>
      </c>
      <c r="F410" s="42" t="str">
        <f t="shared" si="13"/>
        <v></v>
      </c>
      <c r="G410" s="39"/>
      <c r="I410" s="44"/>
    </row>
    <row r="411" spans="1:9" ht="18.25" customHeight="1">
      <c r="A411" s="39">
        <v>405</v>
      </c>
      <c r="B411" s="46"/>
      <c r="C411" s="39"/>
      <c r="D411" s="39"/>
      <c r="E411" s="43">
        <f t="shared" si="12"/>
        <v>0</v>
      </c>
      <c r="F411" s="42" t="str">
        <f t="shared" si="13"/>
        <v></v>
      </c>
      <c r="G411" s="39"/>
      <c r="I411" s="44"/>
    </row>
    <row r="412" spans="1:9" ht="18.25" customHeight="1">
      <c r="A412" s="39">
        <v>406</v>
      </c>
      <c r="B412" s="46"/>
      <c r="C412" s="39"/>
      <c r="D412" s="39"/>
      <c r="E412" s="43">
        <f t="shared" si="12"/>
        <v>0</v>
      </c>
      <c r="F412" s="42" t="str">
        <f t="shared" si="13"/>
        <v></v>
      </c>
      <c r="G412" s="39"/>
      <c r="I412" s="44"/>
    </row>
    <row r="413" spans="1:9" ht="18.25" customHeight="1">
      <c r="A413" s="39">
        <v>407</v>
      </c>
      <c r="B413" s="46"/>
      <c r="C413" s="39"/>
      <c r="D413" s="39"/>
      <c r="E413" s="43">
        <f t="shared" si="12"/>
        <v>0</v>
      </c>
      <c r="F413" s="42" t="str">
        <f t="shared" si="13"/>
        <v></v>
      </c>
      <c r="G413" s="39"/>
      <c r="I413" s="44"/>
    </row>
    <row r="414" spans="1:9" ht="18.25" customHeight="1">
      <c r="A414" s="39">
        <v>408</v>
      </c>
      <c r="B414" s="46"/>
      <c r="C414" s="39"/>
      <c r="D414" s="39"/>
      <c r="E414" s="43">
        <f t="shared" si="12"/>
        <v>0</v>
      </c>
      <c r="F414" s="42" t="str">
        <f t="shared" si="13"/>
        <v></v>
      </c>
      <c r="G414" s="39"/>
      <c r="I414" s="44"/>
    </row>
    <row r="415" spans="1:9" ht="18.25" customHeight="1">
      <c r="A415" s="39">
        <v>409</v>
      </c>
      <c r="B415" s="46"/>
      <c r="C415" s="39"/>
      <c r="D415" s="39"/>
      <c r="E415" s="43">
        <f t="shared" si="12"/>
        <v>0</v>
      </c>
      <c r="F415" s="42" t="str">
        <f t="shared" si="13"/>
        <v></v>
      </c>
      <c r="G415" s="39"/>
      <c r="I415" s="44"/>
    </row>
    <row r="416" spans="1:9" ht="18.25" customHeight="1">
      <c r="A416" s="39">
        <v>410</v>
      </c>
      <c r="B416" s="46"/>
      <c r="C416" s="39"/>
      <c r="D416" s="39"/>
      <c r="E416" s="43">
        <f t="shared" si="12"/>
        <v>0</v>
      </c>
      <c r="F416" s="42" t="str">
        <f t="shared" si="13"/>
        <v></v>
      </c>
      <c r="G416" s="39"/>
      <c r="I416" s="44"/>
    </row>
    <row r="417" spans="1:9" ht="18.25" customHeight="1">
      <c r="A417" s="39">
        <v>411</v>
      </c>
      <c r="B417" s="46"/>
      <c r="C417" s="39"/>
      <c r="D417" s="39"/>
      <c r="E417" s="43">
        <f t="shared" si="12"/>
        <v>0</v>
      </c>
      <c r="F417" s="42" t="str">
        <f t="shared" si="13"/>
        <v></v>
      </c>
      <c r="G417" s="39"/>
      <c r="I417" s="44"/>
    </row>
    <row r="418" spans="1:9" ht="18.25" customHeight="1">
      <c r="A418" s="39">
        <v>412</v>
      </c>
      <c r="B418" s="46"/>
      <c r="C418" s="39"/>
      <c r="D418" s="39"/>
      <c r="E418" s="43">
        <f t="shared" si="12"/>
        <v>0</v>
      </c>
      <c r="F418" s="42" t="str">
        <f t="shared" si="13"/>
        <v></v>
      </c>
      <c r="G418" s="39"/>
      <c r="I418" s="44"/>
    </row>
    <row r="419" spans="1:9" ht="18.25" customHeight="1">
      <c r="A419" s="39">
        <v>413</v>
      </c>
      <c r="B419" s="46"/>
      <c r="C419" s="39"/>
      <c r="D419" s="39"/>
      <c r="E419" s="43">
        <f t="shared" si="12"/>
        <v>0</v>
      </c>
      <c r="F419" s="42" t="str">
        <f t="shared" si="13"/>
        <v></v>
      </c>
      <c r="G419" s="39"/>
      <c r="I419" s="44"/>
    </row>
    <row r="420" spans="1:9" ht="18.25" customHeight="1">
      <c r="A420" s="39">
        <v>414</v>
      </c>
      <c r="B420" s="46"/>
      <c r="C420" s="39"/>
      <c r="D420" s="39"/>
      <c r="E420" s="43">
        <f t="shared" si="12"/>
        <v>0</v>
      </c>
      <c r="F420" s="42" t="str">
        <f t="shared" si="13"/>
        <v></v>
      </c>
      <c r="G420" s="39"/>
      <c r="I420" s="44"/>
    </row>
    <row r="421" spans="1:9" ht="18.25" customHeight="1">
      <c r="A421" s="39">
        <v>415</v>
      </c>
      <c r="B421" s="46"/>
      <c r="C421" s="39"/>
      <c r="D421" s="39"/>
      <c r="E421" s="43">
        <f t="shared" si="12"/>
        <v>0</v>
      </c>
      <c r="F421" s="42" t="str">
        <f t="shared" si="13"/>
        <v></v>
      </c>
      <c r="G421" s="39"/>
      <c r="I421" s="44"/>
    </row>
    <row r="422" spans="1:9" ht="18.25" customHeight="1">
      <c r="A422" s="39">
        <v>416</v>
      </c>
      <c r="B422" s="46"/>
      <c r="C422" s="39"/>
      <c r="D422" s="39"/>
      <c r="E422" s="43">
        <f t="shared" si="12"/>
        <v>0</v>
      </c>
      <c r="F422" s="42" t="str">
        <f t="shared" si="13"/>
        <v></v>
      </c>
      <c r="G422" s="39"/>
      <c r="I422" s="44"/>
    </row>
    <row r="423" spans="1:9" ht="18.25" customHeight="1">
      <c r="A423" s="39">
        <v>417</v>
      </c>
      <c r="B423" s="46"/>
      <c r="C423" s="39"/>
      <c r="D423" s="39"/>
      <c r="E423" s="43">
        <f t="shared" si="12"/>
        <v>0</v>
      </c>
      <c r="F423" s="42" t="str">
        <f t="shared" si="13"/>
        <v></v>
      </c>
      <c r="G423" s="39"/>
      <c r="I423" s="44"/>
    </row>
    <row r="424" spans="1:9" ht="18.25" customHeight="1">
      <c r="A424" s="39">
        <v>418</v>
      </c>
      <c r="B424" s="46"/>
      <c r="C424" s="39"/>
      <c r="D424" s="39"/>
      <c r="E424" s="43">
        <f t="shared" si="12"/>
        <v>0</v>
      </c>
      <c r="F424" s="42" t="str">
        <f t="shared" si="13"/>
        <v></v>
      </c>
      <c r="G424" s="39"/>
      <c r="I424" s="44"/>
    </row>
    <row r="425" spans="1:9" ht="18.25" customHeight="1">
      <c r="A425" s="39">
        <v>419</v>
      </c>
      <c r="B425" s="46"/>
      <c r="C425" s="39"/>
      <c r="D425" s="39"/>
      <c r="E425" s="43">
        <f t="shared" si="12"/>
        <v>0</v>
      </c>
      <c r="F425" s="42" t="str">
        <f t="shared" si="13"/>
        <v></v>
      </c>
      <c r="G425" s="39"/>
      <c r="I425" s="44"/>
    </row>
    <row r="426" spans="1:9" ht="18.25" customHeight="1">
      <c r="A426" s="39">
        <v>420</v>
      </c>
      <c r="B426" s="46"/>
      <c r="C426" s="39"/>
      <c r="D426" s="39"/>
      <c r="E426" s="43">
        <f t="shared" si="12"/>
        <v>0</v>
      </c>
      <c r="F426" s="42" t="str">
        <f t="shared" si="13"/>
        <v></v>
      </c>
      <c r="G426" s="39"/>
      <c r="I426" s="44"/>
    </row>
    <row r="427" spans="1:9" ht="18.25" customHeight="1">
      <c r="A427" s="39">
        <v>421</v>
      </c>
      <c r="B427" s="46"/>
      <c r="C427" s="39"/>
      <c r="D427" s="39"/>
      <c r="E427" s="43">
        <f t="shared" si="12"/>
        <v>0</v>
      </c>
      <c r="F427" s="42" t="str">
        <f t="shared" si="13"/>
        <v></v>
      </c>
      <c r="G427" s="39"/>
      <c r="I427" s="44"/>
    </row>
    <row r="428" spans="1:9" ht="18.25" customHeight="1">
      <c r="A428" s="39">
        <v>422</v>
      </c>
      <c r="B428" s="46"/>
      <c r="C428" s="39"/>
      <c r="D428" s="39"/>
      <c r="E428" s="43">
        <f t="shared" si="12"/>
        <v>0</v>
      </c>
      <c r="F428" s="42" t="str">
        <f t="shared" si="13"/>
        <v></v>
      </c>
      <c r="G428" s="39"/>
      <c r="I428" s="44"/>
    </row>
    <row r="429" spans="1:9" ht="18.25" customHeight="1">
      <c r="A429" s="39">
        <v>423</v>
      </c>
      <c r="B429" s="46"/>
      <c r="C429" s="39"/>
      <c r="D429" s="39"/>
      <c r="E429" s="43">
        <f t="shared" si="12"/>
        <v>0</v>
      </c>
      <c r="F429" s="42" t="str">
        <f t="shared" si="13"/>
        <v></v>
      </c>
      <c r="G429" s="39"/>
      <c r="I429" s="44"/>
    </row>
    <row r="430" spans="1:9" ht="18.25" customHeight="1">
      <c r="A430" s="39">
        <v>424</v>
      </c>
      <c r="B430" s="46"/>
      <c r="C430" s="39"/>
      <c r="D430" s="39"/>
      <c r="E430" s="43">
        <f t="shared" si="12"/>
        <v>0</v>
      </c>
      <c r="F430" s="42" t="str">
        <f t="shared" si="13"/>
        <v></v>
      </c>
      <c r="G430" s="39"/>
      <c r="I430" s="44"/>
    </row>
    <row r="431" spans="1:9" ht="18.25" customHeight="1">
      <c r="A431" s="39">
        <v>425</v>
      </c>
      <c r="B431" s="46"/>
      <c r="C431" s="39"/>
      <c r="D431" s="39"/>
      <c r="E431" s="43">
        <f t="shared" si="12"/>
        <v>0</v>
      </c>
      <c r="F431" s="42" t="str">
        <f t="shared" si="13"/>
        <v></v>
      </c>
      <c r="G431" s="39"/>
      <c r="I431" s="44"/>
    </row>
    <row r="432" spans="1:9" ht="18.25" customHeight="1">
      <c r="A432" s="39">
        <v>426</v>
      </c>
      <c r="B432" s="46"/>
      <c r="C432" s="39"/>
      <c r="D432" s="39"/>
      <c r="E432" s="43">
        <f t="shared" si="12"/>
        <v>0</v>
      </c>
      <c r="F432" s="42" t="str">
        <f t="shared" si="13"/>
        <v></v>
      </c>
      <c r="G432" s="39"/>
      <c r="I432" s="44"/>
    </row>
    <row r="433" spans="1:9" ht="18.25" customHeight="1">
      <c r="A433" s="39">
        <v>427</v>
      </c>
      <c r="B433" s="46"/>
      <c r="C433" s="39"/>
      <c r="D433" s="39"/>
      <c r="E433" s="43">
        <f t="shared" si="12"/>
        <v>0</v>
      </c>
      <c r="F433" s="42" t="str">
        <f t="shared" si="13"/>
        <v></v>
      </c>
      <c r="G433" s="39"/>
      <c r="I433" s="44"/>
    </row>
    <row r="434" spans="1:9" ht="18.25" customHeight="1">
      <c r="A434" s="39">
        <v>428</v>
      </c>
      <c r="B434" s="46"/>
      <c r="C434" s="39"/>
      <c r="D434" s="39"/>
      <c r="E434" s="43">
        <f t="shared" si="12"/>
        <v>0</v>
      </c>
      <c r="F434" s="42" t="str">
        <f t="shared" si="13"/>
        <v></v>
      </c>
      <c r="G434" s="39"/>
      <c r="I434" s="44"/>
    </row>
    <row r="435" spans="1:9" ht="18.25" customHeight="1">
      <c r="A435" s="39">
        <v>429</v>
      </c>
      <c r="B435" s="46"/>
      <c r="C435" s="39"/>
      <c r="D435" s="39"/>
      <c r="E435" s="43">
        <f t="shared" si="12"/>
        <v>0</v>
      </c>
      <c r="F435" s="42" t="str">
        <f t="shared" si="13"/>
        <v></v>
      </c>
      <c r="G435" s="39"/>
      <c r="I435" s="44"/>
    </row>
    <row r="436" spans="1:9" ht="18.25" customHeight="1">
      <c r="A436" s="39">
        <v>430</v>
      </c>
      <c r="B436" s="46"/>
      <c r="C436" s="39"/>
      <c r="D436" s="39"/>
      <c r="E436" s="43">
        <f t="shared" si="12"/>
        <v>0</v>
      </c>
      <c r="F436" s="42" t="str">
        <f t="shared" si="13"/>
        <v></v>
      </c>
      <c r="G436" s="39"/>
      <c r="I436" s="44"/>
    </row>
    <row r="437" spans="1:9" ht="18.25" customHeight="1">
      <c r="A437" s="39">
        <v>431</v>
      </c>
      <c r="B437" s="46"/>
      <c r="C437" s="39"/>
      <c r="D437" s="39"/>
      <c r="E437" s="43">
        <f t="shared" si="12"/>
        <v>0</v>
      </c>
      <c r="F437" s="42" t="str">
        <f t="shared" si="13"/>
        <v></v>
      </c>
      <c r="G437" s="39"/>
      <c r="I437" s="44"/>
    </row>
    <row r="438" spans="1:9" ht="18.25" customHeight="1">
      <c r="A438" s="39">
        <v>432</v>
      </c>
      <c r="B438" s="46"/>
      <c r="C438" s="39"/>
      <c r="D438" s="39"/>
      <c r="E438" s="43">
        <f t="shared" si="12"/>
        <v>0</v>
      </c>
      <c r="F438" s="42" t="str">
        <f t="shared" si="13"/>
        <v></v>
      </c>
      <c r="G438" s="39"/>
      <c r="I438" s="44"/>
    </row>
    <row r="439" spans="1:9" ht="18.25" customHeight="1">
      <c r="A439" s="39">
        <v>433</v>
      </c>
      <c r="B439" s="46"/>
      <c r="C439" s="39"/>
      <c r="D439" s="39"/>
      <c r="E439" s="43">
        <f t="shared" si="12"/>
        <v>0</v>
      </c>
      <c r="F439" s="42" t="str">
        <f t="shared" si="13"/>
        <v></v>
      </c>
      <c r="G439" s="39"/>
      <c r="I439" s="44"/>
    </row>
    <row r="440" spans="1:9" ht="18.25" customHeight="1">
      <c r="A440" s="39">
        <v>434</v>
      </c>
      <c r="B440" s="46"/>
      <c r="C440" s="39"/>
      <c r="D440" s="39"/>
      <c r="E440" s="43">
        <f t="shared" si="12"/>
        <v>0</v>
      </c>
      <c r="F440" s="42" t="str">
        <f t="shared" si="13"/>
        <v></v>
      </c>
      <c r="G440" s="39"/>
      <c r="I440" s="44"/>
    </row>
    <row r="441" spans="1:9" ht="18.25" customHeight="1">
      <c r="A441" s="39">
        <v>435</v>
      </c>
      <c r="B441" s="46"/>
      <c r="C441" s="39"/>
      <c r="D441" s="39"/>
      <c r="E441" s="43">
        <f t="shared" si="12"/>
        <v>0</v>
      </c>
      <c r="F441" s="42" t="str">
        <f t="shared" si="13"/>
        <v></v>
      </c>
      <c r="G441" s="39"/>
      <c r="I441" s="44"/>
    </row>
    <row r="442" spans="1:9" ht="18.25" customHeight="1">
      <c r="A442" s="39">
        <v>436</v>
      </c>
      <c r="B442" s="46"/>
      <c r="C442" s="39"/>
      <c r="D442" s="39"/>
      <c r="E442" s="43">
        <f t="shared" si="12"/>
        <v>0</v>
      </c>
      <c r="F442" s="42" t="str">
        <f t="shared" si="13"/>
        <v></v>
      </c>
      <c r="G442" s="39"/>
      <c r="I442" s="44"/>
    </row>
    <row r="443" spans="1:9" ht="18.25" customHeight="1">
      <c r="A443" s="39">
        <v>437</v>
      </c>
      <c r="B443" s="46"/>
      <c r="C443" s="39"/>
      <c r="D443" s="39"/>
      <c r="E443" s="43">
        <f t="shared" si="12"/>
        <v>0</v>
      </c>
      <c r="F443" s="42" t="str">
        <f t="shared" si="13"/>
        <v></v>
      </c>
      <c r="G443" s="39"/>
      <c r="I443" s="44"/>
    </row>
    <row r="444" spans="1:9" ht="18.25" customHeight="1">
      <c r="A444" s="39">
        <v>438</v>
      </c>
      <c r="B444" s="46"/>
      <c r="C444" s="39"/>
      <c r="D444" s="39"/>
      <c r="E444" s="43">
        <f t="shared" si="12"/>
        <v>0</v>
      </c>
      <c r="F444" s="42" t="str">
        <f t="shared" si="13"/>
        <v></v>
      </c>
      <c r="G444" s="39"/>
      <c r="I444" s="44"/>
    </row>
    <row r="445" spans="1:9" ht="18.25" customHeight="1">
      <c r="A445" s="39">
        <v>439</v>
      </c>
      <c r="B445" s="46"/>
      <c r="C445" s="39"/>
      <c r="D445" s="39"/>
      <c r="E445" s="43">
        <f t="shared" si="12"/>
        <v>0</v>
      </c>
      <c r="F445" s="42" t="str">
        <f t="shared" si="13"/>
        <v></v>
      </c>
      <c r="G445" s="39"/>
      <c r="I445" s="44"/>
    </row>
    <row r="446" spans="1:9" ht="18.25" customHeight="1">
      <c r="A446" s="39">
        <v>440</v>
      </c>
      <c r="B446" s="46"/>
      <c r="C446" s="39"/>
      <c r="D446" s="39"/>
      <c r="E446" s="43">
        <f t="shared" si="12"/>
        <v>0</v>
      </c>
      <c r="F446" s="42" t="str">
        <f t="shared" si="13"/>
        <v></v>
      </c>
      <c r="G446" s="39"/>
      <c r="I446" s="44"/>
    </row>
    <row r="447" spans="1:9" ht="18.25" customHeight="1">
      <c r="A447" s="39">
        <v>441</v>
      </c>
      <c r="B447" s="46"/>
      <c r="C447" s="39"/>
      <c r="D447" s="39"/>
      <c r="E447" s="43">
        <f t="shared" si="12"/>
        <v>0</v>
      </c>
      <c r="F447" s="42" t="str">
        <f t="shared" si="13"/>
        <v></v>
      </c>
      <c r="G447" s="39"/>
      <c r="I447" s="44"/>
    </row>
    <row r="448" spans="1:9" ht="18.25" customHeight="1">
      <c r="A448" s="39">
        <v>442</v>
      </c>
      <c r="B448" s="46"/>
      <c r="C448" s="39"/>
      <c r="D448" s="39"/>
      <c r="E448" s="43">
        <f t="shared" si="12"/>
        <v>0</v>
      </c>
      <c r="F448" s="42" t="str">
        <f t="shared" si="13"/>
        <v></v>
      </c>
      <c r="G448" s="39"/>
      <c r="I448" s="44"/>
    </row>
    <row r="449" spans="1:9" ht="18.25" customHeight="1">
      <c r="A449" s="39">
        <v>443</v>
      </c>
      <c r="B449" s="46"/>
      <c r="C449" s="39"/>
      <c r="D449" s="39"/>
      <c r="E449" s="43">
        <f t="shared" si="12"/>
        <v>0</v>
      </c>
      <c r="F449" s="42" t="str">
        <f t="shared" si="13"/>
        <v></v>
      </c>
      <c r="G449" s="39"/>
      <c r="I449" s="44"/>
    </row>
    <row r="450" spans="1:9" ht="18.25" customHeight="1">
      <c r="A450" s="39">
        <v>444</v>
      </c>
      <c r="B450" s="46"/>
      <c r="C450" s="39"/>
      <c r="D450" s="39"/>
      <c r="E450" s="43">
        <f t="shared" si="12"/>
        <v>0</v>
      </c>
      <c r="F450" s="42" t="str">
        <f t="shared" si="13"/>
        <v></v>
      </c>
      <c r="G450" s="39"/>
      <c r="I450" s="44"/>
    </row>
    <row r="451" spans="1:9" ht="18.25" customHeight="1">
      <c r="A451" s="39">
        <v>445</v>
      </c>
      <c r="B451" s="46"/>
      <c r="C451" s="39"/>
      <c r="D451" s="39"/>
      <c r="E451" s="43">
        <f t="shared" si="12"/>
        <v>0</v>
      </c>
      <c r="F451" s="42" t="str">
        <f t="shared" si="13"/>
        <v></v>
      </c>
      <c r="G451" s="39"/>
      <c r="I451" s="44"/>
    </row>
    <row r="452" spans="1:9" ht="18.25" customHeight="1">
      <c r="A452" s="39">
        <v>446</v>
      </c>
      <c r="B452" s="46"/>
      <c r="C452" s="39"/>
      <c r="D452" s="39"/>
      <c r="E452" s="43">
        <f t="shared" si="12"/>
        <v>0</v>
      </c>
      <c r="F452" s="42" t="str">
        <f t="shared" si="13"/>
        <v></v>
      </c>
      <c r="G452" s="39"/>
      <c r="I452" s="44"/>
    </row>
    <row r="453" spans="1:9" ht="18.25" customHeight="1">
      <c r="A453" s="39">
        <v>447</v>
      </c>
      <c r="B453" s="46"/>
      <c r="C453" s="39"/>
      <c r="D453" s="39"/>
      <c r="E453" s="43">
        <f t="shared" si="12"/>
        <v>0</v>
      </c>
      <c r="F453" s="42" t="str">
        <f t="shared" si="13"/>
        <v></v>
      </c>
      <c r="G453" s="39"/>
      <c r="I453" s="44"/>
    </row>
    <row r="454" spans="1:9" ht="18.25" customHeight="1">
      <c r="A454" s="39">
        <v>448</v>
      </c>
      <c r="B454" s="46"/>
      <c r="C454" s="39"/>
      <c r="D454" s="39"/>
      <c r="E454" s="43">
        <f t="shared" si="12"/>
        <v>0</v>
      </c>
      <c r="F454" s="42" t="str">
        <f t="shared" si="13"/>
        <v></v>
      </c>
      <c r="G454" s="39"/>
      <c r="I454" s="44"/>
    </row>
    <row r="455" spans="1:9" ht="18.25" customHeight="1">
      <c r="A455" s="39">
        <v>449</v>
      </c>
      <c r="B455" s="46"/>
      <c r="C455" s="39"/>
      <c r="D455" s="39"/>
      <c r="E455" s="43">
        <f t="shared" si="12"/>
        <v>0</v>
      </c>
      <c r="F455" s="42" t="str">
        <f t="shared" si="13"/>
        <v></v>
      </c>
      <c r="G455" s="39"/>
      <c r="I455" s="44"/>
    </row>
    <row r="456" spans="1:9" ht="18.25" customHeight="1">
      <c r="A456" s="39">
        <v>450</v>
      </c>
      <c r="B456" s="46"/>
      <c r="C456" s="39"/>
      <c r="D456" s="39"/>
      <c r="E456" s="43">
        <f t="shared" si="12"/>
        <v>0</v>
      </c>
      <c r="F456" s="42" t="str">
        <f t="shared" si="13"/>
        <v></v>
      </c>
      <c r="G456" s="39"/>
      <c r="I456" s="44"/>
    </row>
    <row r="457" spans="1:9" ht="18.25" customHeight="1">
      <c r="A457" s="39">
        <v>451</v>
      </c>
      <c r="B457" s="46"/>
      <c r="C457" s="39"/>
      <c r="D457" s="39"/>
      <c r="E457" s="43">
        <f t="shared" si="12"/>
        <v>0</v>
      </c>
      <c r="F457" s="42" t="str">
        <f t="shared" si="13"/>
        <v></v>
      </c>
      <c r="G457" s="39"/>
      <c r="I457" s="44"/>
    </row>
    <row r="458" spans="1:9" ht="18.25" customHeight="1">
      <c r="A458" s="39">
        <v>452</v>
      </c>
      <c r="B458" s="46"/>
      <c r="C458" s="39"/>
      <c r="D458" s="39"/>
      <c r="E458" s="43">
        <f t="shared" si="12"/>
        <v>0</v>
      </c>
      <c r="F458" s="42" t="str">
        <f t="shared" si="13"/>
        <v></v>
      </c>
      <c r="G458" s="39"/>
      <c r="I458" s="44"/>
    </row>
    <row r="459" spans="1:9" ht="18.25" customHeight="1">
      <c r="A459" s="39">
        <v>453</v>
      </c>
      <c r="B459" s="46"/>
      <c r="C459" s="39"/>
      <c r="D459" s="39"/>
      <c r="E459" s="43">
        <f t="shared" si="12"/>
        <v>0</v>
      </c>
      <c r="F459" s="42" t="str">
        <f t="shared" si="13"/>
        <v></v>
      </c>
      <c r="G459" s="39"/>
      <c r="I459" s="44"/>
    </row>
    <row r="460" spans="1:9" ht="18.25" customHeight="1">
      <c r="A460" s="39">
        <v>454</v>
      </c>
      <c r="B460" s="46"/>
      <c r="C460" s="39"/>
      <c r="D460" s="39"/>
      <c r="E460" s="43">
        <f t="shared" si="12"/>
        <v>0</v>
      </c>
      <c r="F460" s="42" t="str">
        <f t="shared" si="13"/>
        <v></v>
      </c>
      <c r="G460" s="39"/>
      <c r="I460" s="44"/>
    </row>
    <row r="461" spans="1:9" ht="18.25" customHeight="1">
      <c r="A461" s="39">
        <v>455</v>
      </c>
      <c r="B461" s="46"/>
      <c r="C461" s="39"/>
      <c r="D461" s="39"/>
      <c r="E461" s="43">
        <f t="shared" si="12"/>
        <v>0</v>
      </c>
      <c r="F461" s="42" t="str">
        <f t="shared" si="13"/>
        <v></v>
      </c>
      <c r="G461" s="39"/>
      <c r="I461" s="44"/>
    </row>
    <row r="462" spans="1:9" ht="18.25" customHeight="1">
      <c r="A462" s="39">
        <v>456</v>
      </c>
      <c r="B462" s="46"/>
      <c r="C462" s="39"/>
      <c r="D462" s="39"/>
      <c r="E462" s="43">
        <f t="shared" si="12"/>
        <v>0</v>
      </c>
      <c r="F462" s="42" t="str">
        <f t="shared" si="13"/>
        <v></v>
      </c>
      <c r="G462" s="39"/>
      <c r="I462" s="44"/>
    </row>
    <row r="463" spans="1:9" ht="18.25" customHeight="1">
      <c r="A463" s="39">
        <v>457</v>
      </c>
      <c r="B463" s="46"/>
      <c r="C463" s="39"/>
      <c r="D463" s="39"/>
      <c r="E463" s="43">
        <f t="shared" si="12"/>
        <v>0</v>
      </c>
      <c r="F463" s="42" t="str">
        <f t="shared" si="13"/>
        <v></v>
      </c>
      <c r="G463" s="39"/>
      <c r="I463" s="44"/>
    </row>
    <row r="464" spans="1:9" ht="18.25" customHeight="1">
      <c r="A464" s="39">
        <v>458</v>
      </c>
      <c r="B464" s="46"/>
      <c r="C464" s="39"/>
      <c r="D464" s="39"/>
      <c r="E464" s="43">
        <f t="shared" si="12"/>
        <v>0</v>
      </c>
      <c r="F464" s="42" t="str">
        <f t="shared" si="13"/>
        <v></v>
      </c>
      <c r="G464" s="39"/>
      <c r="I464" s="44"/>
    </row>
    <row r="465" spans="1:9" ht="18.25" customHeight="1">
      <c r="A465" s="39">
        <v>459</v>
      </c>
      <c r="B465" s="46"/>
      <c r="C465" s="39"/>
      <c r="D465" s="39"/>
      <c r="E465" s="43">
        <f t="shared" si="12"/>
        <v>0</v>
      </c>
      <c r="F465" s="42" t="str">
        <f t="shared" si="13"/>
        <v></v>
      </c>
      <c r="G465" s="39"/>
      <c r="I465" s="44"/>
    </row>
    <row r="466" spans="1:9" ht="18.25" customHeight="1">
      <c r="A466" s="39">
        <v>460</v>
      </c>
      <c r="B466" s="46"/>
      <c r="C466" s="39"/>
      <c r="D466" s="39"/>
      <c r="E466" s="43">
        <f t="shared" si="12"/>
        <v>0</v>
      </c>
      <c r="F466" s="42" t="str">
        <f t="shared" si="13"/>
        <v></v>
      </c>
      <c r="G466" s="39"/>
      <c r="I466" s="44"/>
    </row>
    <row r="467" spans="1:9" ht="18.25" customHeight="1">
      <c r="A467" s="39">
        <v>461</v>
      </c>
      <c r="B467" s="46"/>
      <c r="C467" s="39"/>
      <c r="D467" s="39"/>
      <c r="E467" s="43">
        <f t="shared" ref="E467:E495" si="14">IFERROR(D467/C467,0)</f>
        <v>0</v>
      </c>
      <c r="F467" s="42" t="str">
        <f t="shared" ref="F467:F495" si="15">IF(E467&lt;=0.15,"","")</f>
        <v></v>
      </c>
      <c r="G467" s="39"/>
      <c r="I467" s="44"/>
    </row>
    <row r="468" spans="1:9" ht="18.25" customHeight="1">
      <c r="A468" s="39">
        <v>462</v>
      </c>
      <c r="B468" s="46"/>
      <c r="C468" s="39"/>
      <c r="D468" s="39"/>
      <c r="E468" s="43">
        <f t="shared" si="14"/>
        <v>0</v>
      </c>
      <c r="F468" s="42" t="str">
        <f t="shared" si="15"/>
        <v></v>
      </c>
      <c r="G468" s="39"/>
      <c r="I468" s="44"/>
    </row>
    <row r="469" spans="1:9" ht="18.25" customHeight="1">
      <c r="A469" s="39">
        <v>463</v>
      </c>
      <c r="B469" s="46"/>
      <c r="C469" s="39"/>
      <c r="D469" s="39"/>
      <c r="E469" s="43">
        <f t="shared" si="14"/>
        <v>0</v>
      </c>
      <c r="F469" s="42" t="str">
        <f t="shared" si="15"/>
        <v></v>
      </c>
      <c r="G469" s="39"/>
      <c r="I469" s="44"/>
    </row>
    <row r="470" spans="1:9" ht="18.25" customHeight="1">
      <c r="A470" s="39">
        <v>464</v>
      </c>
      <c r="B470" s="46"/>
      <c r="C470" s="39"/>
      <c r="D470" s="39"/>
      <c r="E470" s="43">
        <f t="shared" si="14"/>
        <v>0</v>
      </c>
      <c r="F470" s="42" t="str">
        <f t="shared" si="15"/>
        <v></v>
      </c>
      <c r="G470" s="39"/>
      <c r="I470" s="44"/>
    </row>
    <row r="471" spans="1:9" ht="18.25" customHeight="1">
      <c r="A471" s="39">
        <v>465</v>
      </c>
      <c r="B471" s="46"/>
      <c r="C471" s="39"/>
      <c r="D471" s="39"/>
      <c r="E471" s="43">
        <f t="shared" si="14"/>
        <v>0</v>
      </c>
      <c r="F471" s="42" t="str">
        <f t="shared" si="15"/>
        <v></v>
      </c>
      <c r="G471" s="39"/>
      <c r="I471" s="44"/>
    </row>
    <row r="472" spans="1:9" ht="18.25" customHeight="1">
      <c r="A472" s="39">
        <v>466</v>
      </c>
      <c r="B472" s="46"/>
      <c r="C472" s="39"/>
      <c r="D472" s="39"/>
      <c r="E472" s="43">
        <f t="shared" si="14"/>
        <v>0</v>
      </c>
      <c r="F472" s="42" t="str">
        <f t="shared" si="15"/>
        <v></v>
      </c>
      <c r="G472" s="39"/>
      <c r="I472" s="44"/>
    </row>
    <row r="473" spans="1:9" ht="18.25" customHeight="1">
      <c r="A473" s="39">
        <v>467</v>
      </c>
      <c r="B473" s="46"/>
      <c r="C473" s="39"/>
      <c r="D473" s="39"/>
      <c r="E473" s="43">
        <f t="shared" si="14"/>
        <v>0</v>
      </c>
      <c r="F473" s="42" t="str">
        <f t="shared" si="15"/>
        <v></v>
      </c>
      <c r="G473" s="39"/>
      <c r="I473" s="44"/>
    </row>
    <row r="474" spans="1:9" ht="18.25" customHeight="1">
      <c r="A474" s="39">
        <v>468</v>
      </c>
      <c r="B474" s="46"/>
      <c r="C474" s="39"/>
      <c r="D474" s="39"/>
      <c r="E474" s="43">
        <f t="shared" si="14"/>
        <v>0</v>
      </c>
      <c r="F474" s="42" t="str">
        <f t="shared" si="15"/>
        <v></v>
      </c>
      <c r="G474" s="39"/>
      <c r="I474" s="44"/>
    </row>
    <row r="475" spans="1:9" ht="18.25" customHeight="1">
      <c r="A475" s="39">
        <v>469</v>
      </c>
      <c r="B475" s="46"/>
      <c r="C475" s="39"/>
      <c r="D475" s="39"/>
      <c r="E475" s="43">
        <f t="shared" si="14"/>
        <v>0</v>
      </c>
      <c r="F475" s="42" t="str">
        <f t="shared" si="15"/>
        <v></v>
      </c>
      <c r="G475" s="39"/>
      <c r="I475" s="44"/>
    </row>
    <row r="476" spans="1:9" ht="18.25" customHeight="1">
      <c r="A476" s="39">
        <v>470</v>
      </c>
      <c r="B476" s="46"/>
      <c r="C476" s="39"/>
      <c r="D476" s="39"/>
      <c r="E476" s="43">
        <f t="shared" si="14"/>
        <v>0</v>
      </c>
      <c r="F476" s="42" t="str">
        <f t="shared" si="15"/>
        <v></v>
      </c>
      <c r="G476" s="39"/>
      <c r="I476" s="44"/>
    </row>
    <row r="477" spans="1:9" ht="18.25" customHeight="1">
      <c r="A477" s="39">
        <v>471</v>
      </c>
      <c r="B477" s="46"/>
      <c r="C477" s="39"/>
      <c r="D477" s="39"/>
      <c r="E477" s="43">
        <f t="shared" si="14"/>
        <v>0</v>
      </c>
      <c r="F477" s="42" t="str">
        <f t="shared" si="15"/>
        <v></v>
      </c>
      <c r="G477" s="39"/>
      <c r="I477" s="44"/>
    </row>
    <row r="478" spans="1:9" ht="18.25" customHeight="1">
      <c r="A478" s="39">
        <v>472</v>
      </c>
      <c r="B478" s="46"/>
      <c r="C478" s="39"/>
      <c r="D478" s="39"/>
      <c r="E478" s="43">
        <f t="shared" si="14"/>
        <v>0</v>
      </c>
      <c r="F478" s="42" t="str">
        <f t="shared" si="15"/>
        <v></v>
      </c>
      <c r="G478" s="39"/>
      <c r="I478" s="44"/>
    </row>
    <row r="479" spans="1:9" ht="18.25" customHeight="1">
      <c r="A479" s="39">
        <v>473</v>
      </c>
      <c r="B479" s="46"/>
      <c r="C479" s="39"/>
      <c r="D479" s="39"/>
      <c r="E479" s="43">
        <f t="shared" si="14"/>
        <v>0</v>
      </c>
      <c r="F479" s="42" t="str">
        <f t="shared" si="15"/>
        <v></v>
      </c>
      <c r="G479" s="39"/>
      <c r="I479" s="44"/>
    </row>
    <row r="480" spans="1:9" ht="18.25" customHeight="1">
      <c r="A480" s="39">
        <v>474</v>
      </c>
      <c r="B480" s="46"/>
      <c r="C480" s="39"/>
      <c r="D480" s="39"/>
      <c r="E480" s="43">
        <f t="shared" si="14"/>
        <v>0</v>
      </c>
      <c r="F480" s="42" t="str">
        <f t="shared" si="15"/>
        <v></v>
      </c>
      <c r="G480" s="39"/>
      <c r="I480" s="44"/>
    </row>
    <row r="481" spans="1:9" ht="18.25" customHeight="1">
      <c r="A481" s="39">
        <v>475</v>
      </c>
      <c r="B481" s="46"/>
      <c r="C481" s="39"/>
      <c r="D481" s="39"/>
      <c r="E481" s="43">
        <f t="shared" si="14"/>
        <v>0</v>
      </c>
      <c r="F481" s="42" t="str">
        <f t="shared" si="15"/>
        <v></v>
      </c>
      <c r="G481" s="39"/>
      <c r="I481" s="44"/>
    </row>
    <row r="482" spans="1:9" ht="18.25" customHeight="1">
      <c r="A482" s="39">
        <v>476</v>
      </c>
      <c r="B482" s="46"/>
      <c r="C482" s="39"/>
      <c r="D482" s="39"/>
      <c r="E482" s="43">
        <f t="shared" si="14"/>
        <v>0</v>
      </c>
      <c r="F482" s="42" t="str">
        <f t="shared" si="15"/>
        <v></v>
      </c>
      <c r="G482" s="39"/>
      <c r="I482" s="44"/>
    </row>
    <row r="483" spans="1:9" ht="18.25" customHeight="1">
      <c r="A483" s="39">
        <v>477</v>
      </c>
      <c r="B483" s="46"/>
      <c r="C483" s="39"/>
      <c r="D483" s="39"/>
      <c r="E483" s="43">
        <f t="shared" si="14"/>
        <v>0</v>
      </c>
      <c r="F483" s="42" t="str">
        <f t="shared" si="15"/>
        <v></v>
      </c>
      <c r="G483" s="39"/>
      <c r="I483" s="44"/>
    </row>
    <row r="484" spans="1:9" ht="18.25" customHeight="1">
      <c r="A484" s="39">
        <v>478</v>
      </c>
      <c r="B484" s="46"/>
      <c r="C484" s="39"/>
      <c r="D484" s="39"/>
      <c r="E484" s="43">
        <f t="shared" si="14"/>
        <v>0</v>
      </c>
      <c r="F484" s="42" t="str">
        <f t="shared" si="15"/>
        <v></v>
      </c>
      <c r="G484" s="39"/>
      <c r="I484" s="44"/>
    </row>
    <row r="485" spans="1:9" ht="18.25" customHeight="1">
      <c r="A485" s="39">
        <v>479</v>
      </c>
      <c r="B485" s="46"/>
      <c r="C485" s="39"/>
      <c r="D485" s="39"/>
      <c r="E485" s="43">
        <f t="shared" si="14"/>
        <v>0</v>
      </c>
      <c r="F485" s="42" t="str">
        <f t="shared" si="15"/>
        <v></v>
      </c>
      <c r="G485" s="39"/>
      <c r="I485" s="44"/>
    </row>
    <row r="486" spans="1:9" ht="18.25" customHeight="1">
      <c r="A486" s="39">
        <v>480</v>
      </c>
      <c r="B486" s="46"/>
      <c r="C486" s="39"/>
      <c r="D486" s="39"/>
      <c r="E486" s="43">
        <f t="shared" si="14"/>
        <v>0</v>
      </c>
      <c r="F486" s="42" t="str">
        <f t="shared" si="15"/>
        <v></v>
      </c>
      <c r="G486" s="39"/>
      <c r="I486" s="44"/>
    </row>
    <row r="487" spans="1:9" ht="18.25" customHeight="1">
      <c r="A487" s="39">
        <v>481</v>
      </c>
      <c r="B487" s="46"/>
      <c r="C487" s="39"/>
      <c r="D487" s="39"/>
      <c r="E487" s="43">
        <f t="shared" si="14"/>
        <v>0</v>
      </c>
      <c r="F487" s="42" t="str">
        <f t="shared" si="15"/>
        <v></v>
      </c>
      <c r="G487" s="39"/>
      <c r="I487" s="44"/>
    </row>
    <row r="488" spans="1:9" ht="18.25" customHeight="1">
      <c r="A488" s="39">
        <v>482</v>
      </c>
      <c r="B488" s="46"/>
      <c r="C488" s="39"/>
      <c r="D488" s="39"/>
      <c r="E488" s="43">
        <f t="shared" si="14"/>
        <v>0</v>
      </c>
      <c r="F488" s="42" t="str">
        <f t="shared" si="15"/>
        <v></v>
      </c>
      <c r="G488" s="39"/>
      <c r="I488" s="44"/>
    </row>
    <row r="489" spans="1:9" ht="18.25" customHeight="1">
      <c r="A489" s="39">
        <v>483</v>
      </c>
      <c r="B489" s="46"/>
      <c r="C489" s="39"/>
      <c r="D489" s="39"/>
      <c r="E489" s="43">
        <f t="shared" si="14"/>
        <v>0</v>
      </c>
      <c r="F489" s="42" t="str">
        <f t="shared" si="15"/>
        <v></v>
      </c>
      <c r="G489" s="39"/>
      <c r="I489" s="44"/>
    </row>
    <row r="490" spans="1:9" ht="18.25" customHeight="1">
      <c r="A490" s="39">
        <v>484</v>
      </c>
      <c r="B490" s="46"/>
      <c r="C490" s="39"/>
      <c r="D490" s="39"/>
      <c r="E490" s="43">
        <f t="shared" si="14"/>
        <v>0</v>
      </c>
      <c r="F490" s="42" t="str">
        <f t="shared" si="15"/>
        <v></v>
      </c>
      <c r="G490" s="39"/>
      <c r="I490" s="44"/>
    </row>
    <row r="491" spans="1:9" ht="18.25" customHeight="1">
      <c r="A491" s="39">
        <v>485</v>
      </c>
      <c r="B491" s="46"/>
      <c r="C491" s="39"/>
      <c r="D491" s="39"/>
      <c r="E491" s="43">
        <f t="shared" si="14"/>
        <v>0</v>
      </c>
      <c r="F491" s="42" t="str">
        <f t="shared" si="15"/>
        <v></v>
      </c>
      <c r="G491" s="39"/>
      <c r="I491" s="44"/>
    </row>
    <row r="492" spans="1:9" ht="18.25" customHeight="1">
      <c r="A492" s="39">
        <v>486</v>
      </c>
      <c r="B492" s="46"/>
      <c r="C492" s="39"/>
      <c r="D492" s="39"/>
      <c r="E492" s="43">
        <f t="shared" si="14"/>
        <v>0</v>
      </c>
      <c r="F492" s="42" t="str">
        <f t="shared" si="15"/>
        <v></v>
      </c>
      <c r="G492" s="39"/>
      <c r="I492" s="44"/>
    </row>
    <row r="493" spans="1:9" ht="18.25" customHeight="1">
      <c r="A493" s="39">
        <v>487</v>
      </c>
      <c r="B493" s="46"/>
      <c r="C493" s="39"/>
      <c r="D493" s="39"/>
      <c r="E493" s="43">
        <f t="shared" si="14"/>
        <v>0</v>
      </c>
      <c r="F493" s="42" t="str">
        <f t="shared" si="15"/>
        <v></v>
      </c>
      <c r="G493" s="39"/>
      <c r="I493" s="44"/>
    </row>
    <row r="494" spans="1:9" ht="18.25" customHeight="1">
      <c r="A494" s="39">
        <v>488</v>
      </c>
      <c r="B494" s="46"/>
      <c r="C494" s="39"/>
      <c r="D494" s="39"/>
      <c r="E494" s="43">
        <f t="shared" si="14"/>
        <v>0</v>
      </c>
      <c r="F494" s="42" t="str">
        <f t="shared" si="15"/>
        <v></v>
      </c>
      <c r="G494" s="39"/>
      <c r="I494" s="44"/>
    </row>
    <row r="495" spans="1:9" ht="18.25" customHeight="1">
      <c r="A495" s="39">
        <v>489</v>
      </c>
      <c r="B495" s="46"/>
      <c r="C495" s="39"/>
      <c r="D495" s="39"/>
      <c r="E495" s="43">
        <f t="shared" si="14"/>
        <v>0</v>
      </c>
      <c r="F495" s="42" t="str">
        <f t="shared" si="15"/>
        <v></v>
      </c>
      <c r="G495" s="39"/>
      <c r="I495" s="44"/>
    </row>
    <row r="496" spans="1:9" ht="16">
      <c r="A496" s="39">
        <v>490</v>
      </c>
      <c r="B496" s="47"/>
      <c r="C496" s="39"/>
      <c r="D496" s="39"/>
      <c r="E496" s="47"/>
      <c r="F496" s="47"/>
      <c r="G496" s="48"/>
    </row>
    <row r="497" spans="1:7" ht="16">
      <c r="A497" s="39">
        <v>491</v>
      </c>
      <c r="B497" s="47"/>
      <c r="C497" s="39"/>
      <c r="D497" s="39"/>
      <c r="E497" s="47"/>
      <c r="F497" s="47"/>
      <c r="G497" s="48"/>
    </row>
    <row r="498" spans="1:7" ht="16">
      <c r="A498" s="39">
        <v>492</v>
      </c>
      <c r="B498" s="47"/>
      <c r="C498" s="39"/>
      <c r="D498" s="39"/>
      <c r="E498" s="47"/>
      <c r="F498" s="47"/>
      <c r="G498" s="48"/>
    </row>
    <row r="499" spans="1:7" ht="16">
      <c r="A499" s="39">
        <v>493</v>
      </c>
      <c r="B499" s="47"/>
      <c r="C499" s="39"/>
      <c r="D499" s="39"/>
      <c r="E499" s="47"/>
      <c r="F499" s="47"/>
      <c r="G499" s="48"/>
    </row>
    <row r="500" spans="1:7" ht="16">
      <c r="A500" s="39">
        <v>494</v>
      </c>
      <c r="B500" s="47"/>
      <c r="C500" s="39"/>
      <c r="D500" s="39"/>
      <c r="E500" s="47"/>
      <c r="F500" s="47"/>
      <c r="G500" s="48"/>
    </row>
    <row r="501" spans="1:7" ht="16">
      <c r="A501" s="39">
        <v>495</v>
      </c>
      <c r="B501" s="47"/>
      <c r="C501" s="39"/>
      <c r="D501" s="39"/>
      <c r="E501" s="47"/>
      <c r="F501" s="47"/>
      <c r="G501" s="48"/>
    </row>
    <row r="502" spans="1:7" ht="16">
      <c r="A502" s="39">
        <v>496</v>
      </c>
      <c r="B502" s="47"/>
      <c r="C502" s="39"/>
      <c r="D502" s="39"/>
      <c r="E502" s="47"/>
      <c r="F502" s="47"/>
      <c r="G502" s="48"/>
    </row>
  </sheetData>
  <protectedRanges>
    <protectedRange sqref="E7:F495" name="範圍2"/>
    <protectedRange sqref="A2:A3 A4:B4 A5:G6 G4 D2:D4 F3:F4" name="範圍1"/>
  </protectedRanges>
  <mergeCells count="5">
    <mergeCell ref="A1:G1"/>
    <mergeCell ref="B2:C2"/>
    <mergeCell ref="B3:C3"/>
    <mergeCell ref="A4:B4"/>
    <mergeCell ref="B5:G5"/>
  </mergeCells>
  <phoneticPr fontId="10" type="noConversion"/>
  <conditionalFormatting sqref="E7:F495">
    <cfRule type="expression" dxfId="1" priority="2">
      <formula>$E7&gt;0.15</formula>
    </cfRule>
  </conditionalFormatting>
  <conditionalFormatting sqref="G7:G495">
    <cfRule type="expression" dxfId="0" priority="1">
      <formula>$E7&gt;0.15</formula>
    </cfRule>
  </conditionalFormatting>
  <dataValidations count="1">
    <dataValidation type="list" allowBlank="1" showInputMessage="1" showErrorMessage="1" sqref="B3:C3" xr:uid="{23CB1BC5-91CB-1047-91D0-24AD208B0AA4}">
      <formula1>"幼兒教育,小學教育,中學教育"</formula1>
    </dataValidation>
  </dataValidations>
  <pageMargins left="0.47244094488188981" right="0.47244094488188981" top="0.86614173228346458" bottom="0.59055118110236227" header="0.11811023622047245" footer="0.31496062992125984"/>
  <pageSetup paperSize="9" scale="84" fitToHeight="0" orientation="portrait" r:id="rId1"/>
  <headerFooter>
    <oddHeader>&amp;L&amp;G</oddHeader>
    <oddFooter>&amp;C&amp;P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938FA-239D-E842-A1B7-DBAA94EC791D}">
  <sheetPr>
    <pageSetUpPr fitToPage="1"/>
  </sheetPr>
  <dimension ref="A1:E24"/>
  <sheetViews>
    <sheetView zoomScaleNormal="100" workbookViewId="0">
      <selection activeCell="B19" sqref="B19:E19"/>
    </sheetView>
  </sheetViews>
  <sheetFormatPr baseColWidth="10" defaultColWidth="10.59765625" defaultRowHeight="15"/>
  <cols>
    <col min="1" max="1" width="8.796875" style="28" customWidth="1"/>
    <col min="2" max="2" width="14" style="28" customWidth="1"/>
    <col min="3" max="3" width="43.19921875" style="28" customWidth="1"/>
    <col min="4" max="4" width="31.796875" style="28" customWidth="1"/>
    <col min="5" max="5" width="24.19921875" style="28" customWidth="1"/>
    <col min="6" max="16384" width="10.59765625" style="28"/>
  </cols>
  <sheetData>
    <row r="1" spans="1:5" ht="43.5" customHeight="1">
      <c r="A1" s="99" t="s">
        <v>1395</v>
      </c>
      <c r="B1" s="100"/>
      <c r="C1" s="100"/>
      <c r="D1" s="100"/>
      <c r="E1" s="100"/>
    </row>
    <row r="2" spans="1:5" ht="25.5" customHeight="1">
      <c r="A2" s="101" t="s">
        <v>1364</v>
      </c>
      <c r="B2" s="102"/>
      <c r="C2" s="50" t="str">
        <f>學生書包重量抽查結果紀錄表!B2</f>
        <v>聖若瑟教區中學第五校(小學中文部)</v>
      </c>
      <c r="D2" s="50" t="s">
        <v>1366</v>
      </c>
      <c r="E2" s="51" t="str">
        <f>學生書包重量抽查結果紀錄表!E2</f>
        <v>051</v>
      </c>
    </row>
    <row r="3" spans="1:5" ht="25.5" customHeight="1">
      <c r="A3" s="101" t="s">
        <v>1371</v>
      </c>
      <c r="B3" s="102"/>
      <c r="C3" s="49" t="str">
        <f>TEXT(學生書包重量抽查結果紀錄表!E3,"yyyy年m月d日") &amp; " 至 " &amp; TEXT(學生書包重量抽查結果紀錄表!G3,"yyyy年m月d日")</f>
        <v>2025年9月22日 至 2025年9月30日</v>
      </c>
      <c r="D3" s="50" t="s">
        <v>1396</v>
      </c>
      <c r="E3" s="52" t="s">
        <v>1397</v>
      </c>
    </row>
    <row r="4" spans="1:5" ht="25.5" customHeight="1">
      <c r="A4" s="101" t="s">
        <v>1369</v>
      </c>
      <c r="B4" s="102"/>
      <c r="C4" s="50" t="str">
        <f>學生書包重量抽查結果紀錄表!B3</f>
        <v>小學教育</v>
      </c>
      <c r="D4" s="50" t="s">
        <v>1373</v>
      </c>
      <c r="E4" s="53">
        <f>學生書包重量抽查結果紀錄表!C4</f>
        <v>718</v>
      </c>
    </row>
    <row r="5" spans="1:5" ht="25.5" customHeight="1" thickBot="1">
      <c r="A5" s="89" t="s">
        <v>1398</v>
      </c>
      <c r="B5" s="90"/>
      <c r="C5" s="53">
        <f>學生書包重量抽查結果紀錄表!E4</f>
        <v>242</v>
      </c>
      <c r="D5" s="54" t="s">
        <v>1375</v>
      </c>
      <c r="E5" s="53" t="str">
        <f>IFERROR(ROUND(C5/E4*100,2)," ") &amp; "%"</f>
        <v>33.7%</v>
      </c>
    </row>
    <row r="6" spans="1:5" ht="25.5" customHeight="1" thickTop="1">
      <c r="A6" s="103" t="s">
        <v>1399</v>
      </c>
      <c r="B6" s="104"/>
      <c r="C6" s="55">
        <f>COUNTIF(學生書包重量抽查結果紀錄表!E7:E495,"&gt;0.15")</f>
        <v>0</v>
      </c>
      <c r="D6" s="56" t="s">
        <v>1400</v>
      </c>
      <c r="E6" s="56" t="str">
        <f>IFERROR(ROUND(C6/C5*100,2)," ") &amp; "%"</f>
        <v>0%</v>
      </c>
    </row>
    <row r="7" spans="1:5" ht="25.5" customHeight="1">
      <c r="A7" s="89" t="s">
        <v>1401</v>
      </c>
      <c r="B7" s="90"/>
      <c r="C7" s="53">
        <f>COUNTIFS(學生書包重量抽查結果紀錄表!E7:E495,"&gt;0",學生書包重量抽查結果紀錄表!E7:E495,"&lt;=0.15")</f>
        <v>0</v>
      </c>
      <c r="D7" s="50" t="s">
        <v>1402</v>
      </c>
      <c r="E7" s="50" t="str">
        <f>IFERROR(ROUND(C7/C5*100,2)," ") &amp; "%"</f>
        <v>0%</v>
      </c>
    </row>
    <row r="8" spans="1:5" ht="43.5" customHeight="1" thickBot="1">
      <c r="A8" s="91"/>
      <c r="B8" s="92"/>
      <c r="C8" s="93" t="s">
        <v>1403</v>
      </c>
      <c r="D8" s="94"/>
      <c r="E8" s="95"/>
    </row>
    <row r="9" spans="1:5" ht="39.75" customHeight="1" thickTop="1">
      <c r="A9" s="96" t="s">
        <v>1404</v>
      </c>
      <c r="B9" s="96"/>
      <c r="C9" s="96"/>
      <c r="D9" s="96"/>
      <c r="E9" s="57" t="s">
        <v>1405</v>
      </c>
    </row>
    <row r="10" spans="1:5" ht="31.5" customHeight="1">
      <c r="A10" s="88" t="s">
        <v>1406</v>
      </c>
      <c r="B10" s="88"/>
      <c r="C10" s="88"/>
      <c r="D10" s="88"/>
      <c r="E10" s="58" t="s">
        <v>1405</v>
      </c>
    </row>
    <row r="11" spans="1:5" ht="32.25" customHeight="1" thickBot="1">
      <c r="A11" s="97" t="s">
        <v>1407</v>
      </c>
      <c r="B11" s="97"/>
      <c r="C11" s="97"/>
      <c r="D11" s="97"/>
      <c r="E11" s="59" t="s">
        <v>1405</v>
      </c>
    </row>
    <row r="12" spans="1:5" ht="25.5" customHeight="1" thickTop="1">
      <c r="A12" s="98" t="s">
        <v>1408</v>
      </c>
      <c r="B12" s="98"/>
      <c r="C12" s="98"/>
      <c r="D12" s="98"/>
      <c r="E12" s="98"/>
    </row>
    <row r="13" spans="1:5" ht="25.5" customHeight="1">
      <c r="A13" s="39" t="s">
        <v>1409</v>
      </c>
      <c r="B13" s="85" t="s">
        <v>1410</v>
      </c>
      <c r="C13" s="86"/>
      <c r="D13" s="86"/>
      <c r="E13" s="87"/>
    </row>
    <row r="14" spans="1:5" ht="25.5" customHeight="1">
      <c r="A14" s="39" t="s">
        <v>1411</v>
      </c>
      <c r="B14" s="85" t="s">
        <v>1412</v>
      </c>
      <c r="C14" s="86"/>
      <c r="D14" s="86"/>
      <c r="E14" s="87"/>
    </row>
    <row r="15" spans="1:5" ht="25.5" customHeight="1">
      <c r="A15" s="39" t="s">
        <v>1413</v>
      </c>
      <c r="B15" s="85" t="s">
        <v>1414</v>
      </c>
      <c r="C15" s="86"/>
      <c r="D15" s="86"/>
      <c r="E15" s="87"/>
    </row>
    <row r="16" spans="1:5" ht="25.5" customHeight="1">
      <c r="A16" s="39" t="s">
        <v>1415</v>
      </c>
      <c r="B16" s="78" t="s">
        <v>1416</v>
      </c>
      <c r="C16" s="79"/>
      <c r="D16" s="79"/>
      <c r="E16" s="80"/>
    </row>
    <row r="17" spans="1:5" ht="25.5" customHeight="1">
      <c r="A17" s="39" t="s">
        <v>1417</v>
      </c>
      <c r="B17" s="85" t="s">
        <v>1418</v>
      </c>
      <c r="C17" s="86"/>
      <c r="D17" s="86"/>
      <c r="E17" s="87"/>
    </row>
    <row r="18" spans="1:5" ht="25.5" customHeight="1">
      <c r="A18" s="88" t="s">
        <v>1419</v>
      </c>
      <c r="B18" s="88"/>
      <c r="C18" s="88"/>
      <c r="D18" s="88"/>
      <c r="E18" s="88"/>
    </row>
    <row r="19" spans="1:5" ht="25.5" customHeight="1">
      <c r="A19" s="39" t="s">
        <v>1409</v>
      </c>
      <c r="B19" s="78" t="s">
        <v>1420</v>
      </c>
      <c r="C19" s="79"/>
      <c r="D19" s="79"/>
      <c r="E19" s="80"/>
    </row>
    <row r="20" spans="1:5" ht="25.5" customHeight="1">
      <c r="A20" s="39" t="s">
        <v>1411</v>
      </c>
      <c r="B20" s="78" t="s">
        <v>1421</v>
      </c>
      <c r="C20" s="79"/>
      <c r="D20" s="79"/>
      <c r="E20" s="80"/>
    </row>
    <row r="21" spans="1:5" ht="25.5" customHeight="1">
      <c r="A21" s="39" t="s">
        <v>1413</v>
      </c>
      <c r="B21" s="78" t="s">
        <v>1422</v>
      </c>
      <c r="C21" s="79"/>
      <c r="D21" s="79"/>
      <c r="E21" s="80"/>
    </row>
    <row r="22" spans="1:5" ht="25.5" customHeight="1">
      <c r="A22" s="39" t="s">
        <v>1423</v>
      </c>
      <c r="B22" s="81" t="s">
        <v>1424</v>
      </c>
      <c r="C22" s="82"/>
      <c r="D22" s="82"/>
      <c r="E22" s="83"/>
    </row>
    <row r="23" spans="1:5" ht="25.5" customHeight="1">
      <c r="A23" s="39" t="s">
        <v>1417</v>
      </c>
      <c r="B23" s="78" t="s">
        <v>1425</v>
      </c>
      <c r="C23" s="79"/>
      <c r="D23" s="79"/>
      <c r="E23" s="80"/>
    </row>
    <row r="24" spans="1:5" ht="42.75" customHeight="1">
      <c r="A24" s="84" t="s">
        <v>1426</v>
      </c>
      <c r="B24" s="84"/>
      <c r="C24" s="84"/>
      <c r="D24" s="84"/>
      <c r="E24" s="84"/>
    </row>
  </sheetData>
  <mergeCells count="24">
    <mergeCell ref="A12:E12"/>
    <mergeCell ref="A1:E1"/>
    <mergeCell ref="A2:B2"/>
    <mergeCell ref="A3:B3"/>
    <mergeCell ref="A4:B4"/>
    <mergeCell ref="A5:B5"/>
    <mergeCell ref="A6:B6"/>
    <mergeCell ref="A7:B8"/>
    <mergeCell ref="C8:E8"/>
    <mergeCell ref="A9:D9"/>
    <mergeCell ref="A10:D10"/>
    <mergeCell ref="A11:D11"/>
    <mergeCell ref="A24:E24"/>
    <mergeCell ref="B13:E13"/>
    <mergeCell ref="B14:E14"/>
    <mergeCell ref="B15:E15"/>
    <mergeCell ref="B16:E16"/>
    <mergeCell ref="B17:E17"/>
    <mergeCell ref="A18:E18"/>
    <mergeCell ref="B19:E19"/>
    <mergeCell ref="B20:E20"/>
    <mergeCell ref="B21:E21"/>
    <mergeCell ref="B22:E22"/>
    <mergeCell ref="B23:E23"/>
  </mergeCells>
  <phoneticPr fontId="10" type="noConversion"/>
  <dataValidations count="3">
    <dataValidation type="list" allowBlank="1" showInputMessage="1" sqref="B13:E15" xr:uid="{F92C1B19-843E-5A40-AD3D-879E4149F8E0}">
      <formula1>"是次抽查未有發現學生書包超重,學生使用拖拉式書包,書包質材較重,書包內較多非必要學習用品,學生沒有按照課表執拾書包,書本數量多或較重,作業本數量多或較重,水樽重量較重,水樽從家中裝滿了水帶回學校,學生沒有善用校內儲物設施,課表編排令學生在某些日子中書包特別重,學生體重較輕,補習社／督課中心教材"</formula1>
    </dataValidation>
    <dataValidation type="list" allowBlank="1" showInputMessage="1" showErrorMessage="1" sqref="E9:E11" xr:uid="{65C20C17-C4B2-6242-B324-60E9A87E1A3D}">
      <formula1>"是,否"</formula1>
    </dataValidation>
    <dataValidation type="list" allowBlank="1" sqref="E3" xr:uid="{6B19F1E3-B1EB-8745-AC9F-C2C790535A22}">
      <formula1>"健康促進人員, 校醫, 校護, 主任, 班主任, 體育老師"</formula1>
    </dataValidation>
  </dataValidations>
  <printOptions horizontalCentered="1"/>
  <pageMargins left="0.43307086614173229" right="0.43307086614173229" top="0.94488188976377963" bottom="0.74803149606299213" header="0.31496062992125984" footer="0.31496062992125984"/>
  <pageSetup paperSize="9" scale="92" fitToHeight="0" orientation="portrait" r:id="rId1"/>
  <headerFooter>
    <oddHeader>&amp;L&amp;G</oddHead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7"/>
  <sheetViews>
    <sheetView workbookViewId="0">
      <selection activeCell="A27" sqref="A27"/>
    </sheetView>
  </sheetViews>
  <sheetFormatPr baseColWidth="10" defaultColWidth="9" defaultRowHeight="14"/>
  <cols>
    <col min="1" max="1" width="62" customWidth="1"/>
  </cols>
  <sheetData>
    <row r="1" spans="1:1" ht="21">
      <c r="A1" s="1" t="s">
        <v>1335</v>
      </c>
    </row>
    <row r="3" spans="1:1" ht="16">
      <c r="A3" s="26" t="s">
        <v>1336</v>
      </c>
    </row>
    <row r="4" spans="1:1" ht="16">
      <c r="A4" s="27" t="s">
        <v>1337</v>
      </c>
    </row>
    <row r="5" spans="1:1" ht="16">
      <c r="A5" s="27" t="s">
        <v>1338</v>
      </c>
    </row>
    <row r="6" spans="1:1" ht="16">
      <c r="A6" s="27" t="s">
        <v>1339</v>
      </c>
    </row>
    <row r="7" spans="1:1" ht="16">
      <c r="A7" s="27" t="s">
        <v>1340</v>
      </c>
    </row>
    <row r="9" spans="1:1" ht="16">
      <c r="A9" s="26" t="s">
        <v>1341</v>
      </c>
    </row>
    <row r="10" spans="1:1" ht="16">
      <c r="A10" s="27" t="s">
        <v>1342</v>
      </c>
    </row>
    <row r="11" spans="1:1" ht="16">
      <c r="A11" s="27" t="s">
        <v>1343</v>
      </c>
    </row>
    <row r="12" spans="1:1" ht="16">
      <c r="A12" s="27" t="s">
        <v>1344</v>
      </c>
    </row>
    <row r="13" spans="1:1" ht="16">
      <c r="A13" s="27" t="s">
        <v>1345</v>
      </c>
    </row>
    <row r="14" spans="1:1" ht="16">
      <c r="A14" s="27" t="s">
        <v>1346</v>
      </c>
    </row>
    <row r="16" spans="1:1" ht="16">
      <c r="A16" s="26" t="s">
        <v>1347</v>
      </c>
    </row>
    <row r="17" spans="1:1" ht="16">
      <c r="A17" s="27" t="s">
        <v>1348</v>
      </c>
    </row>
    <row r="18" spans="1:1" ht="16">
      <c r="A18" s="27" t="s">
        <v>1349</v>
      </c>
    </row>
    <row r="19" spans="1:1" ht="16">
      <c r="A19" s="27" t="s">
        <v>1350</v>
      </c>
    </row>
    <row r="21" spans="1:1" ht="16">
      <c r="A21" s="26" t="s">
        <v>1351</v>
      </c>
    </row>
    <row r="22" spans="1:1" ht="16">
      <c r="A22" s="27" t="s">
        <v>1352</v>
      </c>
    </row>
    <row r="23" spans="1:1" ht="16">
      <c r="A23" s="27" t="s">
        <v>1353</v>
      </c>
    </row>
    <row r="24" spans="1:1" ht="16">
      <c r="A24" s="27" t="s">
        <v>1354</v>
      </c>
    </row>
    <row r="25" spans="1:1" ht="16">
      <c r="A25" s="27" t="s">
        <v>1355</v>
      </c>
    </row>
    <row r="26" spans="1:1" ht="16">
      <c r="A26" s="27" t="s">
        <v>1356</v>
      </c>
    </row>
    <row r="27" spans="1:1" ht="16">
      <c r="A27" s="27" t="s">
        <v>1357</v>
      </c>
    </row>
  </sheetData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具名範圍</vt:lpstr>
      </vt:variant>
      <vt:variant>
        <vt:i4>3</vt:i4>
      </vt:variant>
    </vt:vector>
  </HeadingPairs>
  <TitlesOfParts>
    <vt:vector size="9" baseType="lpstr">
      <vt:lpstr>📱 各班抽查登記表</vt:lpstr>
      <vt:lpstr>📊 全校各班抽查總表</vt:lpstr>
      <vt:lpstr>💾 學生體重資料庫</vt:lpstr>
      <vt:lpstr>學生書包重量抽查結果紀錄表</vt:lpstr>
      <vt:lpstr>學生書包重量抽查結果分析表</vt:lpstr>
      <vt:lpstr>ℹ️ 使用指南與標準說明</vt:lpstr>
      <vt:lpstr>學生書包重量抽查結果分析表!Print_Area</vt:lpstr>
      <vt:lpstr>學生書包重量抽查結果紀錄表!Print_Area</vt:lpstr>
      <vt:lpstr>學生書包重量抽查結果紀錄表!Print_Titles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SekLeong Lao</cp:lastModifiedBy>
  <dcterms:created xsi:type="dcterms:W3CDTF">2026-10-09T02:06:03Z</dcterms:created>
  <dcterms:modified xsi:type="dcterms:W3CDTF">2026-10-22T00:15:27Z</dcterms:modified>
</cp:coreProperties>
</file>