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2627ESP1A" sheetId="2" r:id="rId5"/>
    <sheet state="visible" name="2627ESP1B" sheetId="3" r:id="rId6"/>
    <sheet state="visible" name="2627ESP2A" sheetId="4" r:id="rId7"/>
    <sheet state="visible" name="2627ESP2B" sheetId="5" r:id="rId8"/>
    <sheet state="visible" name="2627ESP3A" sheetId="6" r:id="rId9"/>
    <sheet state="visible" name="2627ESP3B" sheetId="7" r:id="rId10"/>
    <sheet state="visible" name="2627ESP4A" sheetId="8" r:id="rId11"/>
    <sheet state="visible" name="2627ESP4B" sheetId="9" r:id="rId12"/>
    <sheet state="visible" name="2627ESP5A" sheetId="10" r:id="rId13"/>
    <sheet state="visible" name="2627ESP5B" sheetId="11" r:id="rId14"/>
    <sheet state="visible" name="2627ESP6A" sheetId="12" r:id="rId15"/>
    <sheet state="visible" name="2627ESP6B" sheetId="13" r:id="rId16"/>
  </sheets>
  <definedNames/>
  <calcPr/>
  <extLst>
    <ext uri="GoogleSheetsCustomDataVersion2">
      <go:sheetsCustomData xmlns:go="http://customooxmlschemas.google.com/" r:id="rId17" roundtripDataChecksum="fa8JmaqdIuWFejnsNOcn//R3m3gdny9uQCWz4nRWa4k="/>
    </ext>
  </extLst>
</workbook>
</file>

<file path=xl/sharedStrings.xml><?xml version="1.0" encoding="utf-8"?>
<sst xmlns="http://schemas.openxmlformats.org/spreadsheetml/2006/main" count="4353" uniqueCount="1651">
  <si>
    <t>ES-P2A Student Name List 學生名單</t>
  </si>
  <si>
    <t>ES-P1A Student Name List 學生名單</t>
  </si>
  <si>
    <t>ES-P1B Student Name List 學生名單</t>
  </si>
  <si>
    <t>No.</t>
  </si>
  <si>
    <t>Chinese name</t>
  </si>
  <si>
    <t>ID Name</t>
  </si>
  <si>
    <t>English Name</t>
  </si>
  <si>
    <t>Gender</t>
  </si>
  <si>
    <t>STRN</t>
  </si>
  <si>
    <t>HR Teacher：Chan Ka Ieng, Casey</t>
  </si>
  <si>
    <t>HR Teacher : Lee I Man, Nichole</t>
  </si>
  <si>
    <t>班</t>
  </si>
  <si>
    <t>HR</t>
  </si>
  <si>
    <t>Total Enrolment : 30 ( 12 M 18 F )</t>
  </si>
  <si>
    <t>人數</t>
  </si>
  <si>
    <t>年級人數</t>
  </si>
  <si>
    <t>Total Enrolment：30  ( 11 M 19 F )</t>
  </si>
  <si>
    <t>HR Teacher：Un Hang San, Rita</t>
  </si>
  <si>
    <t>ESP1A</t>
  </si>
  <si>
    <t>陳凱樂</t>
  </si>
  <si>
    <t>CHAN HOI LOK</t>
  </si>
  <si>
    <t>Kyle Chan</t>
  </si>
  <si>
    <t>M</t>
  </si>
  <si>
    <t>2352006-X</t>
  </si>
  <si>
    <t>ESP1B</t>
  </si>
  <si>
    <t>Total Enrolment : 30 ( 15 M 15 F )</t>
  </si>
  <si>
    <t>陳嘉盈</t>
  </si>
  <si>
    <t>車雨欣</t>
  </si>
  <si>
    <t>CHE U IAN</t>
  </si>
  <si>
    <t>Jessica</t>
  </si>
  <si>
    <t>F</t>
  </si>
  <si>
    <t>2350370-X</t>
  </si>
  <si>
    <t>陳嘉希</t>
  </si>
  <si>
    <t>CHAN KA HEI</t>
  </si>
  <si>
    <t>Carly Chan</t>
  </si>
  <si>
    <t>Kyle</t>
  </si>
  <si>
    <t>2351575-9</t>
  </si>
  <si>
    <t>李綺珉</t>
  </si>
  <si>
    <t>Carly</t>
  </si>
  <si>
    <t>植俊豪</t>
  </si>
  <si>
    <t>CHEK CHON HOU</t>
  </si>
  <si>
    <t>Johnney</t>
  </si>
  <si>
    <t>陳柏軒</t>
  </si>
  <si>
    <t>CHAN PAK HIN</t>
  </si>
  <si>
    <t>2353310-2</t>
  </si>
  <si>
    <t>Ricky</t>
  </si>
  <si>
    <t>2351146-X</t>
  </si>
  <si>
    <t>Ricky Chan</t>
  </si>
  <si>
    <t>陳永宸</t>
  </si>
  <si>
    <t>張軒瑋</t>
  </si>
  <si>
    <t>ESP2A</t>
  </si>
  <si>
    <t>CHAN WENG SAN</t>
  </si>
  <si>
    <t>CHEONG HIN WAI TAVI</t>
  </si>
  <si>
    <t>阮杏珊</t>
  </si>
  <si>
    <t>Vinson</t>
  </si>
  <si>
    <t>Tavi</t>
  </si>
  <si>
    <t>2353676-4</t>
  </si>
  <si>
    <t>2351269-5</t>
  </si>
  <si>
    <t>歐佳螢</t>
  </si>
  <si>
    <t>鄭鎧恩</t>
  </si>
  <si>
    <t>CHEANG HOI IAN</t>
  </si>
  <si>
    <t>AO KAI IENG</t>
  </si>
  <si>
    <t>Phoebe</t>
  </si>
  <si>
    <t>張梓媱</t>
  </si>
  <si>
    <t>2353128-2</t>
  </si>
  <si>
    <t xml:space="preserve">Camilla Ao </t>
  </si>
  <si>
    <t>CHEONG KUAN NENG</t>
  </si>
  <si>
    <t>張汐堯</t>
  </si>
  <si>
    <t>Katy</t>
  </si>
  <si>
    <t>Vinson Chan</t>
  </si>
  <si>
    <t>CHEONG CHEK IO</t>
  </si>
  <si>
    <t>Priscilla</t>
  </si>
  <si>
    <t>2253123-8</t>
  </si>
  <si>
    <t>2352737-4</t>
  </si>
  <si>
    <t>2354290-X</t>
  </si>
  <si>
    <t>ESP2B</t>
  </si>
  <si>
    <t>陳偉韜</t>
  </si>
  <si>
    <t>張筠甯</t>
  </si>
  <si>
    <t>Lilian</t>
  </si>
  <si>
    <t>趙芷晴</t>
  </si>
  <si>
    <t>2353829-5</t>
  </si>
  <si>
    <t>CHIO CHI CHENG</t>
  </si>
  <si>
    <t>張舜宇</t>
  </si>
  <si>
    <t>CHEUNG SON U SONIA</t>
  </si>
  <si>
    <t>Sonia</t>
  </si>
  <si>
    <t>Jill</t>
  </si>
  <si>
    <t>2353256-4</t>
  </si>
  <si>
    <t>2350334-3</t>
  </si>
  <si>
    <t>陳巧潼</t>
  </si>
  <si>
    <t>蔡柏炎</t>
  </si>
  <si>
    <t>CHOI PAK IM</t>
  </si>
  <si>
    <t>Phoebe Cheang</t>
  </si>
  <si>
    <t>Liam</t>
  </si>
  <si>
    <t>CHAN HAO TONG</t>
  </si>
  <si>
    <t>2352659-9</t>
  </si>
  <si>
    <t>Charlotte Chan</t>
  </si>
  <si>
    <t>趙允曦</t>
  </si>
  <si>
    <t>ESP3A</t>
  </si>
  <si>
    <t>蕭雪芯</t>
  </si>
  <si>
    <t>CHIU WAN HEI</t>
  </si>
  <si>
    <t>2253599-3</t>
  </si>
  <si>
    <t>姚芯玥</t>
  </si>
  <si>
    <t>Anna</t>
  </si>
  <si>
    <t>IO SAM UT</t>
  </si>
  <si>
    <t>Kiki</t>
  </si>
  <si>
    <t>2352585-1</t>
  </si>
  <si>
    <t>2351131-1</t>
  </si>
  <si>
    <t>蔡向堯</t>
  </si>
  <si>
    <t>江沂蔓</t>
  </si>
  <si>
    <t>CHOI HEONG IO</t>
  </si>
  <si>
    <t>KONG I MAN</t>
  </si>
  <si>
    <t>陳栩賢</t>
  </si>
  <si>
    <t>Helga</t>
  </si>
  <si>
    <t>Eden</t>
  </si>
  <si>
    <t>Priscilla Cheong</t>
  </si>
  <si>
    <t>CHAN HOI IN</t>
  </si>
  <si>
    <t>2351219-9</t>
  </si>
  <si>
    <t>Ericson Chan</t>
  </si>
  <si>
    <t>2350673-3</t>
  </si>
  <si>
    <t>ESP3B</t>
  </si>
  <si>
    <t>廖綺婷</t>
  </si>
  <si>
    <t>2254460-7</t>
  </si>
  <si>
    <t>黎樂曦</t>
  </si>
  <si>
    <t>LAI LOK HEI</t>
  </si>
  <si>
    <t>何恩言</t>
  </si>
  <si>
    <t>Hayden</t>
  </si>
  <si>
    <t>HO IAN IN</t>
  </si>
  <si>
    <t>2351641-0</t>
  </si>
  <si>
    <t>2353265-3</t>
  </si>
  <si>
    <t>林靜雅</t>
  </si>
  <si>
    <t>LAM CHENG NGA</t>
  </si>
  <si>
    <t>Lilian Cheong</t>
  </si>
  <si>
    <t>陳暐丞</t>
  </si>
  <si>
    <t>Arya</t>
  </si>
  <si>
    <t>CHAN WAI SENG</t>
  </si>
  <si>
    <t>2353516-4</t>
  </si>
  <si>
    <t>Lukas Chan</t>
  </si>
  <si>
    <t>ESP4A</t>
  </si>
  <si>
    <t>洪頌恆</t>
  </si>
  <si>
    <t>梁穎儀</t>
  </si>
  <si>
    <t>HONG CHONG HANG</t>
  </si>
  <si>
    <t>2253638-8</t>
  </si>
  <si>
    <t>Rex</t>
  </si>
  <si>
    <t>林一諾</t>
  </si>
  <si>
    <t>LAM IAT NOK</t>
  </si>
  <si>
    <t>2350573-7</t>
  </si>
  <si>
    <t>Promise</t>
  </si>
  <si>
    <t>2352326-3</t>
  </si>
  <si>
    <t>甄善潼</t>
  </si>
  <si>
    <t>IAN SIN TONG</t>
  </si>
  <si>
    <t>Sofia</t>
  </si>
  <si>
    <t>Sonia Cheung</t>
  </si>
  <si>
    <t>2350127-8</t>
  </si>
  <si>
    <t>林潁喬</t>
  </si>
  <si>
    <t>LAM WENG KIO</t>
  </si>
  <si>
    <t>張睿朗</t>
  </si>
  <si>
    <t>Gubee</t>
  </si>
  <si>
    <t>ESP4B</t>
  </si>
  <si>
    <t>姚洛琳</t>
  </si>
  <si>
    <t>CHEONG IOI LONG</t>
  </si>
  <si>
    <t>2352983-0</t>
  </si>
  <si>
    <t>黃翠霞</t>
  </si>
  <si>
    <t>IO LOK LAM</t>
  </si>
  <si>
    <t>Lucas Cheong</t>
  </si>
  <si>
    <t>Rachel</t>
  </si>
  <si>
    <t>2351697-6</t>
  </si>
  <si>
    <t>2255018-6</t>
  </si>
  <si>
    <t>梁曦臣</t>
  </si>
  <si>
    <t>LEONG HEI SAN</t>
  </si>
  <si>
    <t>Hayson</t>
  </si>
  <si>
    <t>高正曦</t>
  </si>
  <si>
    <t>2354022-2</t>
  </si>
  <si>
    <t>KOU CHENG HEI</t>
  </si>
  <si>
    <t>Hailey</t>
  </si>
  <si>
    <t>2353432-X</t>
  </si>
  <si>
    <t>Liam Choi</t>
  </si>
  <si>
    <t>梁晧政</t>
  </si>
  <si>
    <t>LEONG HOU CHENG</t>
  </si>
  <si>
    <t>關樂瀅</t>
  </si>
  <si>
    <t>張雨菲</t>
  </si>
  <si>
    <t>Edan</t>
  </si>
  <si>
    <t>KUAN LOK IENG</t>
  </si>
  <si>
    <t>ESP5A</t>
  </si>
  <si>
    <t>Grace</t>
  </si>
  <si>
    <t>CHEONG U FEI</t>
  </si>
  <si>
    <t>鄧婷殷</t>
  </si>
  <si>
    <t>Dorothy Cheong</t>
  </si>
  <si>
    <t>2350222-3</t>
  </si>
  <si>
    <t>2250892-9</t>
  </si>
  <si>
    <t>林子瑜</t>
  </si>
  <si>
    <t>LAM CHI U</t>
  </si>
  <si>
    <t>Jimmy</t>
  </si>
  <si>
    <t>2354676-X</t>
  </si>
  <si>
    <t>2353228-9</t>
  </si>
  <si>
    <t>Kiki Io</t>
  </si>
  <si>
    <t>李奕言</t>
  </si>
  <si>
    <t>趙凱琳</t>
  </si>
  <si>
    <t>LEI IEK IN</t>
  </si>
  <si>
    <t>廖焯軒</t>
  </si>
  <si>
    <t>ESP5B</t>
  </si>
  <si>
    <t>CHIO HOI LAM</t>
  </si>
  <si>
    <t>Bella</t>
  </si>
  <si>
    <t>LIO CHEOK HIN</t>
  </si>
  <si>
    <t>鄧佩儀</t>
  </si>
  <si>
    <t>Hinson</t>
  </si>
  <si>
    <t>Helen Chio</t>
  </si>
  <si>
    <t>2352938-5</t>
  </si>
  <si>
    <t>2353607-1</t>
  </si>
  <si>
    <t>2253276-5</t>
  </si>
  <si>
    <t>李晨熙</t>
  </si>
  <si>
    <t>LEI SAN HEI</t>
  </si>
  <si>
    <t>Janice</t>
  </si>
  <si>
    <t>龍泓諾</t>
  </si>
  <si>
    <t>LONG WANG NOK</t>
  </si>
  <si>
    <t>2352501-0</t>
  </si>
  <si>
    <t>Marcus</t>
  </si>
  <si>
    <t>2350723-3</t>
  </si>
  <si>
    <t>梁樂菲</t>
  </si>
  <si>
    <t>Helga Kong</t>
  </si>
  <si>
    <t>LEONG LOK FEI</t>
  </si>
  <si>
    <t>Kennis</t>
  </si>
  <si>
    <t>勞雨蔓</t>
  </si>
  <si>
    <t>ESP6A</t>
  </si>
  <si>
    <t>2351196-6</t>
  </si>
  <si>
    <t>陶瑞盈</t>
  </si>
  <si>
    <t>LOU U MAN</t>
  </si>
  <si>
    <t>Euna</t>
  </si>
  <si>
    <t>何芍璿</t>
  </si>
  <si>
    <t>梁宇皓</t>
  </si>
  <si>
    <t>2354080-X</t>
  </si>
  <si>
    <t>HO CHEOK SUN</t>
  </si>
  <si>
    <t>LEONG U HOU</t>
  </si>
  <si>
    <t>Savannah Ho</t>
  </si>
  <si>
    <t>Horace</t>
  </si>
  <si>
    <t>2253295-1</t>
  </si>
  <si>
    <t>麥頌茵</t>
  </si>
  <si>
    <t>2352289-5</t>
  </si>
  <si>
    <t>MAK CHONG IAN</t>
  </si>
  <si>
    <t>Elly</t>
  </si>
  <si>
    <t>Hayden Lai</t>
  </si>
  <si>
    <t>梁穎琳</t>
  </si>
  <si>
    <t>2352863-X</t>
  </si>
  <si>
    <t>ESP6B</t>
  </si>
  <si>
    <t>LEONG WENG LAM</t>
  </si>
  <si>
    <t>吳思雅</t>
  </si>
  <si>
    <t>Gloria</t>
  </si>
  <si>
    <t>NG SI NGA</t>
  </si>
  <si>
    <t>林楠蘭</t>
  </si>
  <si>
    <t>Sia</t>
  </si>
  <si>
    <t>何浚希</t>
  </si>
  <si>
    <t>2353755-8</t>
  </si>
  <si>
    <t>2351424-8</t>
  </si>
  <si>
    <t>HO CHON HEI</t>
  </si>
  <si>
    <t>Jonas Ho</t>
  </si>
  <si>
    <t>施蕎</t>
  </si>
  <si>
    <t>SI KIO</t>
  </si>
  <si>
    <t>Joanne</t>
  </si>
  <si>
    <t>2250284-X</t>
  </si>
  <si>
    <t>雷子琳</t>
  </si>
  <si>
    <t>2350383-1</t>
  </si>
  <si>
    <t>LOI CHI LAM</t>
  </si>
  <si>
    <t>Lucy</t>
  </si>
  <si>
    <t>鄧芷悠</t>
  </si>
  <si>
    <t>TANG CHI IAO</t>
  </si>
  <si>
    <t>2353225-4</t>
  </si>
  <si>
    <t>Yoyo</t>
  </si>
  <si>
    <t>2354954-8</t>
  </si>
  <si>
    <t>Arya Lam</t>
  </si>
  <si>
    <t>呂文滔</t>
  </si>
  <si>
    <t>黃睿宸</t>
  </si>
  <si>
    <t>LOI MAN TOU</t>
  </si>
  <si>
    <t>WONG IOI SAN</t>
  </si>
  <si>
    <t>Mantou</t>
  </si>
  <si>
    <t>Lucas</t>
  </si>
  <si>
    <t>何柏熹</t>
  </si>
  <si>
    <t>2351707-7</t>
  </si>
  <si>
    <t>2353105-3</t>
  </si>
  <si>
    <t>HO PAK HEI</t>
  </si>
  <si>
    <t>總人數</t>
  </si>
  <si>
    <t>Zaius Ho</t>
  </si>
  <si>
    <t>王心悠</t>
  </si>
  <si>
    <t>馬梓舜</t>
  </si>
  <si>
    <t>WONG SAM IAO</t>
  </si>
  <si>
    <t>Senyo</t>
  </si>
  <si>
    <t>MA CHI SON</t>
  </si>
  <si>
    <t>2254175-6</t>
  </si>
  <si>
    <t>Brendan</t>
  </si>
  <si>
    <t>2352267-4</t>
  </si>
  <si>
    <t>2352378-6</t>
  </si>
  <si>
    <t>黃語晴</t>
  </si>
  <si>
    <t>沈杺杺</t>
  </si>
  <si>
    <t>WONG U CHENG</t>
  </si>
  <si>
    <t>SAM SAM SAM</t>
  </si>
  <si>
    <t>Promise Lam</t>
  </si>
  <si>
    <t>Liya</t>
  </si>
  <si>
    <t>Emma</t>
  </si>
  <si>
    <t>2351325-X</t>
  </si>
  <si>
    <t>2353803-1</t>
  </si>
  <si>
    <t>許紹恆</t>
  </si>
  <si>
    <t>胡家馨</t>
  </si>
  <si>
    <t>HOI SIO HANG</t>
  </si>
  <si>
    <t>WU KA HENG</t>
  </si>
  <si>
    <t>史鈅楹</t>
  </si>
  <si>
    <t>Hannah</t>
  </si>
  <si>
    <t>SI UT IENG</t>
  </si>
  <si>
    <t>Carson Hoi</t>
  </si>
  <si>
    <t>Bougie</t>
  </si>
  <si>
    <t>2350488-9</t>
  </si>
  <si>
    <t>2250724-8</t>
  </si>
  <si>
    <t>袁碩謙</t>
  </si>
  <si>
    <t>Yuan SHUO QIAN</t>
  </si>
  <si>
    <t>Kevin</t>
  </si>
  <si>
    <t>Gubee Lam</t>
  </si>
  <si>
    <t>2354680-8</t>
  </si>
  <si>
    <t>2352449-9</t>
  </si>
  <si>
    <t>鄭舒文</t>
  </si>
  <si>
    <t>ZHENG SU MAN</t>
  </si>
  <si>
    <t>Sophia</t>
  </si>
  <si>
    <t>黃樂怡</t>
  </si>
  <si>
    <t>余枋樺</t>
  </si>
  <si>
    <t>2352616-5</t>
  </si>
  <si>
    <t>HUANG LOK I CHARLOTTE</t>
  </si>
  <si>
    <t>U FONG WA JARVIS</t>
  </si>
  <si>
    <t>Jarvis</t>
  </si>
  <si>
    <t>Charlotte Huang</t>
  </si>
  <si>
    <t>2351453-1</t>
  </si>
  <si>
    <t>2252033-3</t>
  </si>
  <si>
    <t>Hayson Leong</t>
  </si>
  <si>
    <t>黃政霖</t>
  </si>
  <si>
    <t>WONG CHENG LAM</t>
  </si>
  <si>
    <t>Jayden</t>
  </si>
  <si>
    <t>2351752-2</t>
  </si>
  <si>
    <t>葉政希</t>
  </si>
  <si>
    <t>IP CHENG HEI</t>
  </si>
  <si>
    <t>黃凱盈</t>
  </si>
  <si>
    <t>Matthew Ip</t>
  </si>
  <si>
    <t>WONG HOI IENG</t>
  </si>
  <si>
    <t>Amber Wong</t>
  </si>
  <si>
    <t>Edan Leong</t>
  </si>
  <si>
    <t>2252320-0</t>
  </si>
  <si>
    <t>2353046-4</t>
  </si>
  <si>
    <t>黃語昕</t>
  </si>
  <si>
    <t>WONG U IAN</t>
  </si>
  <si>
    <t>2354719-7</t>
  </si>
  <si>
    <t>葉卓翹</t>
  </si>
  <si>
    <t>薛繁享</t>
  </si>
  <si>
    <t>Hinson Lio</t>
  </si>
  <si>
    <t>IP CHEOK KIO</t>
  </si>
  <si>
    <t>XUE FAN HEONG NICHOLAS</t>
  </si>
  <si>
    <t>Isaac Ip</t>
  </si>
  <si>
    <t>Nicholas</t>
  </si>
  <si>
    <t>2354274-8</t>
  </si>
  <si>
    <t>2252840-7</t>
  </si>
  <si>
    <t>趙若彤</t>
  </si>
  <si>
    <t>ZHAO IEOK TONG</t>
  </si>
  <si>
    <t>Heidi</t>
  </si>
  <si>
    <t>2350934-1</t>
  </si>
  <si>
    <t>Marcus Long</t>
  </si>
  <si>
    <t>甘曉瀅</t>
  </si>
  <si>
    <t>KAM HIO IENG</t>
  </si>
  <si>
    <t>Una Kam</t>
  </si>
  <si>
    <t>2255170-0</t>
  </si>
  <si>
    <t>Euna Lou</t>
  </si>
  <si>
    <t>官澔錡</t>
  </si>
  <si>
    <t>KOON HOU KEI</t>
  </si>
  <si>
    <t>Kason Koon</t>
  </si>
  <si>
    <t>2253260-9</t>
  </si>
  <si>
    <t>Elly Mak</t>
  </si>
  <si>
    <t>林子宸</t>
  </si>
  <si>
    <t>LAM CHI SAN</t>
  </si>
  <si>
    <t>Lucas Lam</t>
  </si>
  <si>
    <t>2252334-0</t>
  </si>
  <si>
    <t>Sia Ng</t>
  </si>
  <si>
    <t>林豫承</t>
  </si>
  <si>
    <t>LAM U SENG</t>
  </si>
  <si>
    <t>Cory Lam</t>
  </si>
  <si>
    <t>Joanne Si</t>
  </si>
  <si>
    <t>2252629-3</t>
  </si>
  <si>
    <t>李澄恩</t>
  </si>
  <si>
    <t>Yoyo Tang</t>
  </si>
  <si>
    <t>LEI CHENG IAN</t>
  </si>
  <si>
    <t>Chelsea Lei</t>
  </si>
  <si>
    <t>2252560-2</t>
  </si>
  <si>
    <t>Lucas Wong</t>
  </si>
  <si>
    <t>梁焯盈</t>
  </si>
  <si>
    <t>LEONG CHEOK IENG</t>
  </si>
  <si>
    <t>Crystal Leong</t>
  </si>
  <si>
    <t>2250893-7</t>
  </si>
  <si>
    <t>Senyo Wong</t>
  </si>
  <si>
    <t>羅恩霖</t>
  </si>
  <si>
    <t>LO IAN LAM</t>
  </si>
  <si>
    <t>Renie Lo</t>
  </si>
  <si>
    <t>2250128-2</t>
  </si>
  <si>
    <t>Liya Wong</t>
  </si>
  <si>
    <t>盧君樂</t>
  </si>
  <si>
    <t>LOU KUAN LOK</t>
  </si>
  <si>
    <t>Paul Lou</t>
  </si>
  <si>
    <t>Hannah Wu</t>
  </si>
  <si>
    <t>2251994-7</t>
  </si>
  <si>
    <t>吳卓洋</t>
  </si>
  <si>
    <t>NG CHEOK IEONG</t>
  </si>
  <si>
    <t>Javen Ng</t>
  </si>
  <si>
    <t>Kevin Yuan</t>
  </si>
  <si>
    <t>2253564-0 </t>
  </si>
  <si>
    <t xml:space="preserve">吳倬賢  </t>
  </si>
  <si>
    <t>Sophia Zheng</t>
  </si>
  <si>
    <t>NG CHEOK IN</t>
  </si>
  <si>
    <t>Jayden Ng</t>
  </si>
  <si>
    <t>2255214-6</t>
  </si>
  <si>
    <t>ES-P2B Student Name List 學生名單</t>
  </si>
  <si>
    <t>倪梓蕎</t>
  </si>
  <si>
    <t>NGAI CHI KIO</t>
  </si>
  <si>
    <t>Ginny Ngai</t>
  </si>
  <si>
    <t>Jessica Che</t>
  </si>
  <si>
    <t>2251095-8</t>
  </si>
  <si>
    <t>HR Teacher : Chan Wai Tou, Victor</t>
  </si>
  <si>
    <t>ES-P3A Student Name List 學生名單</t>
  </si>
  <si>
    <t>蕭穎芯</t>
  </si>
  <si>
    <t>Total Enrolment：29  ( 12 M 15 F )</t>
  </si>
  <si>
    <t>SIO WENG SAM</t>
  </si>
  <si>
    <t>Johnney Chek</t>
  </si>
  <si>
    <t>Moey Sio</t>
  </si>
  <si>
    <t>2251486-4</t>
  </si>
  <si>
    <t>HR Teacher : Sio Sut Sam, Sam</t>
  </si>
  <si>
    <t>Tavi Cheong</t>
  </si>
  <si>
    <t>譚曉悅</t>
  </si>
  <si>
    <t>TAM HIO UT</t>
  </si>
  <si>
    <t>Nia Tam</t>
  </si>
  <si>
    <t>Total Enrolment: 30 ( 14 M 16 F )</t>
  </si>
  <si>
    <t>2253052-5</t>
  </si>
  <si>
    <t>歐陽諾軒</t>
  </si>
  <si>
    <t>AU IEONG NOK HIN</t>
  </si>
  <si>
    <t>Luca Au Ioeng</t>
  </si>
  <si>
    <t>Katy Cheong</t>
  </si>
  <si>
    <t>2251541-0</t>
  </si>
  <si>
    <t>溫可然</t>
  </si>
  <si>
    <t>WEN HO IN</t>
  </si>
  <si>
    <t>Chloe Wen</t>
  </si>
  <si>
    <t>2253735-X</t>
  </si>
  <si>
    <t>Jill Chio</t>
  </si>
  <si>
    <t>陳靖</t>
  </si>
  <si>
    <t>CHAN CHENG</t>
  </si>
  <si>
    <t>陳翊曦</t>
  </si>
  <si>
    <t>黃俊熹</t>
  </si>
  <si>
    <t>Ethan Chan</t>
  </si>
  <si>
    <t>WONG CHON HEI</t>
  </si>
  <si>
    <t>Hayes Wong</t>
  </si>
  <si>
    <t>2252750-8</t>
  </si>
  <si>
    <t>2251366-3</t>
  </si>
  <si>
    <t>Anna Chiu</t>
  </si>
  <si>
    <t>Elliot Chan</t>
  </si>
  <si>
    <t>陳晉毅</t>
  </si>
  <si>
    <t>CHAN CHON NGAI</t>
  </si>
  <si>
    <t>2152512-9</t>
  </si>
  <si>
    <t>Marco Chan</t>
  </si>
  <si>
    <t>2252768-0</t>
  </si>
  <si>
    <t>黃芯妤</t>
  </si>
  <si>
    <t>WONG SAM U</t>
  </si>
  <si>
    <t>Joann Wong</t>
  </si>
  <si>
    <t>蔡丞晉</t>
  </si>
  <si>
    <t>2253252-8</t>
  </si>
  <si>
    <t>Eden Choi</t>
  </si>
  <si>
    <t>陳皓澄</t>
  </si>
  <si>
    <t>Jason Choi</t>
  </si>
  <si>
    <t>CHAN HOU CHENG</t>
  </si>
  <si>
    <t xml:space="preserve"> Elsa Chan</t>
  </si>
  <si>
    <t>2154724-6</t>
  </si>
  <si>
    <t>2253028-2</t>
  </si>
  <si>
    <t>蔡常萱</t>
  </si>
  <si>
    <t>Clara Choi</t>
  </si>
  <si>
    <t>Phoebe Ho</t>
  </si>
  <si>
    <t>徐曦辰</t>
  </si>
  <si>
    <t>2154290-2</t>
  </si>
  <si>
    <t>CHOI HEI SAN</t>
  </si>
  <si>
    <t>Hayson Choi</t>
  </si>
  <si>
    <t>2254388-0 </t>
  </si>
  <si>
    <t>曹鉦曜</t>
  </si>
  <si>
    <t>Max Chou</t>
  </si>
  <si>
    <t>朱珈漩</t>
  </si>
  <si>
    <t>2153538-8</t>
  </si>
  <si>
    <t>Rex Hong</t>
  </si>
  <si>
    <t>CHU KA SUN</t>
  </si>
  <si>
    <t>Juliana Chu</t>
  </si>
  <si>
    <t>2252563-7</t>
  </si>
  <si>
    <t>周祉諾</t>
  </si>
  <si>
    <t>Debby Chow</t>
  </si>
  <si>
    <t>施曦言</t>
  </si>
  <si>
    <t>2152077-1</t>
  </si>
  <si>
    <t>Sofia Ian</t>
  </si>
  <si>
    <t>DA SILVA MARCO</t>
  </si>
  <si>
    <t xml:space="preserve">Marco Da Silva </t>
  </si>
  <si>
    <t>2150507-1</t>
  </si>
  <si>
    <t>關巧琳</t>
  </si>
  <si>
    <t>Kelly Guan</t>
  </si>
  <si>
    <t>馮雋謙</t>
  </si>
  <si>
    <t>FONG CHON HIM</t>
  </si>
  <si>
    <t>Rachel Io</t>
  </si>
  <si>
    <t>2155218-5</t>
  </si>
  <si>
    <t>Everett Fong</t>
  </si>
  <si>
    <t>2253406-7</t>
  </si>
  <si>
    <t>賀施境</t>
  </si>
  <si>
    <t>何梓睿</t>
  </si>
  <si>
    <t>HO CHI IOI</t>
  </si>
  <si>
    <t>Priscilla He</t>
  </si>
  <si>
    <t>Raymond Ho</t>
  </si>
  <si>
    <t>Hailey Kou</t>
  </si>
  <si>
    <t>2152499-8</t>
  </si>
  <si>
    <t>2251706-5</t>
  </si>
  <si>
    <t>何卓妍</t>
  </si>
  <si>
    <t>Holly Ho</t>
  </si>
  <si>
    <t>2155282-7</t>
  </si>
  <si>
    <t>Grace Kuan</t>
  </si>
  <si>
    <t>何詠芊</t>
  </si>
  <si>
    <t>HO WENG CHIN</t>
  </si>
  <si>
    <t>Aria Ho</t>
  </si>
  <si>
    <t>2250877-5</t>
  </si>
  <si>
    <t>何兆軒</t>
  </si>
  <si>
    <t>Kim Ho</t>
  </si>
  <si>
    <t>Jimmy Lam</t>
  </si>
  <si>
    <t>劉芊妤</t>
  </si>
  <si>
    <t>2152263-4</t>
  </si>
  <si>
    <t xml:space="preserve">LAO CHIN U </t>
  </si>
  <si>
    <t>Jasmine Lao</t>
  </si>
  <si>
    <t>2253981-6</t>
  </si>
  <si>
    <t>何穎晴</t>
  </si>
  <si>
    <t>劉思妍</t>
  </si>
  <si>
    <t>Bella Lei</t>
  </si>
  <si>
    <t>Yoyo Ho</t>
  </si>
  <si>
    <t>LAO SI IN</t>
  </si>
  <si>
    <t>Inez Lao</t>
  </si>
  <si>
    <t>2153219-2</t>
  </si>
  <si>
    <t>2254868-8</t>
  </si>
  <si>
    <t>許俊羲</t>
  </si>
  <si>
    <t>Jayden Hoi</t>
  </si>
  <si>
    <t>劉駿樂</t>
  </si>
  <si>
    <t>LAU CHON LOK</t>
  </si>
  <si>
    <t>2152073-9</t>
  </si>
  <si>
    <t>Janice Lei</t>
  </si>
  <si>
    <t>Andy Lau</t>
  </si>
  <si>
    <t>2255050-X</t>
  </si>
  <si>
    <t>許俊宇</t>
  </si>
  <si>
    <t>李曦嵐</t>
  </si>
  <si>
    <t>Felix Hoi</t>
  </si>
  <si>
    <t>LEI HEI LAM</t>
  </si>
  <si>
    <t>Kennis Leong</t>
  </si>
  <si>
    <t>Edwina Lei</t>
  </si>
  <si>
    <t>2151553-0</t>
  </si>
  <si>
    <t>2252506-8</t>
  </si>
  <si>
    <t>丘裕</t>
  </si>
  <si>
    <t>廖思澄</t>
  </si>
  <si>
    <t>LIO SI CHENG</t>
  </si>
  <si>
    <t>Ethan Iao</t>
  </si>
  <si>
    <t>Aria Lio</t>
  </si>
  <si>
    <t>Horace Leong</t>
  </si>
  <si>
    <t>2153768-2</t>
  </si>
  <si>
    <t>2253411-3</t>
  </si>
  <si>
    <t>高藯芯</t>
  </si>
  <si>
    <t>Summer Kou</t>
  </si>
  <si>
    <t>呂浠悅</t>
  </si>
  <si>
    <t>2154757-2</t>
  </si>
  <si>
    <t>LOI HEI UT</t>
  </si>
  <si>
    <t>Leong Weng Lam</t>
  </si>
  <si>
    <t>Becca Loi</t>
  </si>
  <si>
    <t>Gloria Leong</t>
  </si>
  <si>
    <t>2254426-7</t>
  </si>
  <si>
    <t>關樂晴</t>
  </si>
  <si>
    <t>Aria Kuan</t>
  </si>
  <si>
    <t>2152437-8</t>
  </si>
  <si>
    <t>陸妤澄</t>
  </si>
  <si>
    <t>林卓萳</t>
  </si>
  <si>
    <t>LOK U CHENG</t>
  </si>
  <si>
    <t>Athena Lok</t>
  </si>
  <si>
    <t>Lucy Loi</t>
  </si>
  <si>
    <t>Carlie Lam</t>
  </si>
  <si>
    <t>2251463-5</t>
  </si>
  <si>
    <t>2150712-0</t>
  </si>
  <si>
    <t>盧子俊</t>
  </si>
  <si>
    <t>劉俊言</t>
  </si>
  <si>
    <t>LOU CHI CHON</t>
  </si>
  <si>
    <t>Marcus Lou</t>
  </si>
  <si>
    <t>Bosco Lau</t>
  </si>
  <si>
    <t>2252273-5</t>
  </si>
  <si>
    <t>2153195-1</t>
  </si>
  <si>
    <t>Mantou Loi</t>
  </si>
  <si>
    <t>李沚蕊</t>
  </si>
  <si>
    <t>盧家朗</t>
  </si>
  <si>
    <t>LOU KA LONG</t>
  </si>
  <si>
    <t>Carrie Lei</t>
  </si>
  <si>
    <t>Charlie Lou</t>
  </si>
  <si>
    <t>2150826-7</t>
  </si>
  <si>
    <t>Brendan Ma</t>
  </si>
  <si>
    <t>李瑋甯</t>
  </si>
  <si>
    <t>2254856-4</t>
  </si>
  <si>
    <t>Nena Lei</t>
  </si>
  <si>
    <t>2154560-X</t>
  </si>
  <si>
    <t>梁睿謙</t>
  </si>
  <si>
    <t>麥可悠</t>
  </si>
  <si>
    <t>Hanson Leong</t>
  </si>
  <si>
    <t>MAK HO IAO</t>
  </si>
  <si>
    <t>Yoyo Mak</t>
  </si>
  <si>
    <t>2151335-X</t>
  </si>
  <si>
    <t>Emma Sam</t>
  </si>
  <si>
    <t>2255349-5</t>
  </si>
  <si>
    <t>梁柏曦</t>
  </si>
  <si>
    <t>Achilles Leong</t>
  </si>
  <si>
    <t>2150427-X</t>
  </si>
  <si>
    <t>吳政霖</t>
  </si>
  <si>
    <t>NG CHENG LAM</t>
  </si>
  <si>
    <t>Poseidon Ng</t>
  </si>
  <si>
    <t>Bougie Si</t>
  </si>
  <si>
    <t>2253664-7</t>
  </si>
  <si>
    <t>雷昊濬</t>
  </si>
  <si>
    <t>Mason Loi</t>
  </si>
  <si>
    <t>2151940-4</t>
  </si>
  <si>
    <t>吳旻謙</t>
  </si>
  <si>
    <t>NG MAN HIM</t>
  </si>
  <si>
    <t>Kyle Ng</t>
  </si>
  <si>
    <t>2254798-3</t>
  </si>
  <si>
    <t>Jarvis U</t>
  </si>
  <si>
    <t>麥凱皓</t>
  </si>
  <si>
    <t>Alvin Mak</t>
  </si>
  <si>
    <t>2151613-8</t>
  </si>
  <si>
    <t>吳晨恩</t>
  </si>
  <si>
    <t>吳桐</t>
  </si>
  <si>
    <t>NG SAN IAN</t>
  </si>
  <si>
    <t>Ophelia Ng</t>
  </si>
  <si>
    <t>Oscar Ng</t>
  </si>
  <si>
    <t>2251690-5</t>
  </si>
  <si>
    <t>2154316-X</t>
  </si>
  <si>
    <t>Jayden Wong</t>
  </si>
  <si>
    <t>吳玥怡</t>
  </si>
  <si>
    <t>Anna Ng</t>
  </si>
  <si>
    <t>吳宇嫣</t>
  </si>
  <si>
    <t>NG U IN ZAYLEE</t>
  </si>
  <si>
    <t>2154057-8</t>
  </si>
  <si>
    <t>Zaylee Ng</t>
  </si>
  <si>
    <t>2252866-0</t>
  </si>
  <si>
    <t>Amber Wong Wong</t>
  </si>
  <si>
    <t>孫一甯</t>
  </si>
  <si>
    <t>Teresa Sun</t>
  </si>
  <si>
    <t>2151581-6</t>
  </si>
  <si>
    <t>譚夢昕</t>
  </si>
  <si>
    <t>TAM MONG IAN</t>
  </si>
  <si>
    <t>Juanita Tam</t>
  </si>
  <si>
    <t>2254774-6</t>
  </si>
  <si>
    <t>黃恩穎</t>
  </si>
  <si>
    <t>Janice Wong</t>
  </si>
  <si>
    <t>Katy Wong</t>
  </si>
  <si>
    <t>譚宏律</t>
  </si>
  <si>
    <t>2154001-2</t>
  </si>
  <si>
    <t>TAM WANG LOT ELLEN</t>
  </si>
  <si>
    <t>Eugene Tam</t>
  </si>
  <si>
    <t>2253655-8</t>
  </si>
  <si>
    <t>黃睿泓</t>
  </si>
  <si>
    <t>Nicholas Xue</t>
  </si>
  <si>
    <t>Owen Wong</t>
  </si>
  <si>
    <t>2150654-X</t>
  </si>
  <si>
    <t>余玥宜</t>
  </si>
  <si>
    <t>U UT I</t>
  </si>
  <si>
    <t>Eunice U</t>
  </si>
  <si>
    <t>黃紫柔</t>
  </si>
  <si>
    <t>2254514-X </t>
  </si>
  <si>
    <t>WONG CHI IAO</t>
  </si>
  <si>
    <t>Kimmy Wong</t>
  </si>
  <si>
    <t>2155050-6</t>
  </si>
  <si>
    <t>Heidi Zhao</t>
  </si>
  <si>
    <t>阮毅恩</t>
  </si>
  <si>
    <t>UN NGAI IAN</t>
  </si>
  <si>
    <t>Rebecca Un</t>
  </si>
  <si>
    <t>2254199-3</t>
  </si>
  <si>
    <t>黃愛婷</t>
  </si>
  <si>
    <t>Camilla Ao</t>
  </si>
  <si>
    <t>黃政康</t>
  </si>
  <si>
    <t>Emily Wong</t>
  </si>
  <si>
    <t>WONG CHENG HONG</t>
  </si>
  <si>
    <t>Connor Wong</t>
  </si>
  <si>
    <t>2153556-6</t>
  </si>
  <si>
    <t>2250900-3</t>
  </si>
  <si>
    <t>2253564-0</t>
  </si>
  <si>
    <t>吳倬賢</t>
  </si>
  <si>
    <t>Elsa Chan</t>
  </si>
  <si>
    <t>2254388-0</t>
  </si>
  <si>
    <t>Marco Da Silva</t>
  </si>
  <si>
    <t>LAO CHIN U</t>
  </si>
  <si>
    <t>2254514-X</t>
  </si>
  <si>
    <t>CHAN IEK HEI ELLIOT</t>
  </si>
  <si>
    <t>CHOI SENG CHON</t>
  </si>
  <si>
    <t>CHOI SEONG HUN</t>
  </si>
  <si>
    <t>CHOU CHENG IO</t>
  </si>
  <si>
    <t>CHOW CHI NOK</t>
  </si>
  <si>
    <t>GUAN HAO LAM</t>
  </si>
  <si>
    <t>HE SI KENG</t>
  </si>
  <si>
    <t>HO CHEOK IN</t>
  </si>
  <si>
    <t>HO SIO HIN</t>
  </si>
  <si>
    <t>HO WENG CHENG</t>
  </si>
  <si>
    <t>HOI CHON HEI</t>
  </si>
  <si>
    <t>HOI CHON U</t>
  </si>
  <si>
    <t>IAO U</t>
  </si>
  <si>
    <t>KOU WAI SAM</t>
  </si>
  <si>
    <t>KUAN LOK CHENG</t>
  </si>
  <si>
    <t>LAM CHEOK NAM</t>
  </si>
  <si>
    <t>LAU CHON IN</t>
  </si>
  <si>
    <t>LEI CHI IOI</t>
  </si>
  <si>
    <t>LEI WAI NENG</t>
  </si>
  <si>
    <t>LEONG IOI HIM</t>
  </si>
  <si>
    <t>LEONG PAK HEI</t>
  </si>
  <si>
    <t>LOI HOU CHON MASON</t>
  </si>
  <si>
    <t>MAK HOI HOU</t>
  </si>
  <si>
    <t>NG TONG</t>
  </si>
  <si>
    <t>NG UT I</t>
  </si>
  <si>
    <t>SUN IAT NENG TERESA</t>
  </si>
  <si>
    <t>WONG IAN WENG</t>
  </si>
  <si>
    <t>WONG IOI WANG</t>
  </si>
  <si>
    <t>WONG OI TENG</t>
  </si>
  <si>
    <t>歐皓然</t>
  </si>
  <si>
    <t>AO HOU IN</t>
  </si>
  <si>
    <t>Aiden Ao</t>
  </si>
  <si>
    <t>2153016-5</t>
  </si>
  <si>
    <t>陳曉芙</t>
  </si>
  <si>
    <t>CHAN HIO FU</t>
  </si>
  <si>
    <t>Frances Chan</t>
  </si>
  <si>
    <t>2150002-9</t>
  </si>
  <si>
    <t>陳筠玥</t>
  </si>
  <si>
    <t>CHAN KUAN UT</t>
  </si>
  <si>
    <t>Nikita Chan</t>
  </si>
  <si>
    <t>2153416-0</t>
  </si>
  <si>
    <t>曾栢洋</t>
  </si>
  <si>
    <t>CHANG PAK IEONG</t>
  </si>
  <si>
    <t>Moses Chang</t>
  </si>
  <si>
    <t>2152679-6</t>
  </si>
  <si>
    <t>鄭澤添</t>
  </si>
  <si>
    <t>CHEANG CHAK TIM</t>
  </si>
  <si>
    <t>Oakley Cheang</t>
  </si>
  <si>
    <t>2151542-5</t>
  </si>
  <si>
    <t>張靖澄</t>
  </si>
  <si>
    <t>CHEONG CHENG CHENG</t>
  </si>
  <si>
    <t>Ariel Cheong</t>
  </si>
  <si>
    <t>2150794-5</t>
  </si>
  <si>
    <t>張澔霖</t>
  </si>
  <si>
    <t>CHEONG HOU LAM</t>
  </si>
  <si>
    <t>Colin Cheong</t>
  </si>
  <si>
    <t>2150134-3</t>
  </si>
  <si>
    <t>庄芷沁</t>
  </si>
  <si>
    <t>CHONG CHI SAM</t>
  </si>
  <si>
    <t>Genesis Chong</t>
  </si>
  <si>
    <t>2154787-4</t>
  </si>
  <si>
    <t>黃諾彤</t>
  </si>
  <si>
    <t>HUANG NOK TONG</t>
  </si>
  <si>
    <t>Teresa Huang</t>
  </si>
  <si>
    <t>2151377-5</t>
  </si>
  <si>
    <t>葉梓彤</t>
  </si>
  <si>
    <t>IP CHI TONG</t>
  </si>
  <si>
    <t>Athena Ip</t>
  </si>
  <si>
    <t>2154455-7</t>
  </si>
  <si>
    <t>江諾懿</t>
  </si>
  <si>
    <t>KONG NOK I</t>
  </si>
  <si>
    <t>Bosco Kong</t>
  </si>
  <si>
    <t>2154477-8</t>
  </si>
  <si>
    <t>關芷柔</t>
  </si>
  <si>
    <t>KUAN CHI IAO</t>
  </si>
  <si>
    <t>Ellie Kuan</t>
  </si>
  <si>
    <t>2154700-9</t>
  </si>
  <si>
    <t>林祉賢</t>
  </si>
  <si>
    <t>LAM CHI IN</t>
  </si>
  <si>
    <t>Evina Lam</t>
  </si>
  <si>
    <t>2153975-8</t>
  </si>
  <si>
    <t>林泓政</t>
  </si>
  <si>
    <t>LAM CUERVA ALEXANDRO LAI</t>
  </si>
  <si>
    <t>Alec Lam</t>
  </si>
  <si>
    <t>2155186-3</t>
  </si>
  <si>
    <t>劉晞琳</t>
  </si>
  <si>
    <t>LAO HEI LAM</t>
  </si>
  <si>
    <t>Hailey Lao</t>
  </si>
  <si>
    <t>2151426-7</t>
  </si>
  <si>
    <t>羅允熙</t>
  </si>
  <si>
    <t>LAW WAN HEI</t>
  </si>
  <si>
    <t>Sampson Law</t>
  </si>
  <si>
    <t>2150018-5</t>
  </si>
  <si>
    <t>李俊懿</t>
  </si>
  <si>
    <t>LEI CHON I</t>
  </si>
  <si>
    <t>Eden Lei</t>
  </si>
  <si>
    <t>2150396-6</t>
  </si>
  <si>
    <t>梁婉芊</t>
  </si>
  <si>
    <t>LEONG UN CHIN</t>
  </si>
  <si>
    <t>Penelope Leong</t>
  </si>
  <si>
    <t>2152828-4</t>
  </si>
  <si>
    <t>劉欣麗</t>
  </si>
  <si>
    <t>LIU EMILY XINLI</t>
  </si>
  <si>
    <t>Emily Liu</t>
  </si>
  <si>
    <t>2150394-X</t>
  </si>
  <si>
    <t>盧嘉瑩</t>
  </si>
  <si>
    <t>LO KA IENG</t>
  </si>
  <si>
    <t>Natalie Lo</t>
  </si>
  <si>
    <t>2154461-1</t>
  </si>
  <si>
    <t>龍浠媛</t>
  </si>
  <si>
    <t>LONG HEI WUN</t>
  </si>
  <si>
    <t>Venus Long</t>
  </si>
  <si>
    <t>2153205-2</t>
  </si>
  <si>
    <t>盧治匡</t>
  </si>
  <si>
    <t>LOU CHI HONG</t>
  </si>
  <si>
    <t>Bowie Lou</t>
  </si>
  <si>
    <t>2155544-3</t>
  </si>
  <si>
    <t>莫沁甯</t>
  </si>
  <si>
    <t>MOK TSAM NING</t>
  </si>
  <si>
    <t>Monique Mok</t>
  </si>
  <si>
    <t>2150248-X</t>
  </si>
  <si>
    <t>蘇霈暄</t>
  </si>
  <si>
    <t>SOU PUI HUN</t>
  </si>
  <si>
    <t>Charlie Sou</t>
  </si>
  <si>
    <t>2153428-4</t>
  </si>
  <si>
    <t>譚宏靖</t>
  </si>
  <si>
    <t>TAM WANG CHENG ETHAN</t>
  </si>
  <si>
    <t>Ethan Tam</t>
  </si>
  <si>
    <t>2154793-9</t>
  </si>
  <si>
    <t>黃政謙</t>
  </si>
  <si>
    <t>WONG CHENG HIM</t>
  </si>
  <si>
    <t>Bosco Wong</t>
  </si>
  <si>
    <t>2154640-1</t>
  </si>
  <si>
    <t>ES-P3B Student Name List 學生名單</t>
  </si>
  <si>
    <t>黃逸然</t>
  </si>
  <si>
    <t>WONG IAT IN</t>
  </si>
  <si>
    <t>Harry Wong</t>
  </si>
  <si>
    <t>2154429-8</t>
  </si>
  <si>
    <t>HR Teacher：Lio I Teng, Olivia</t>
  </si>
  <si>
    <t>黃悅穎</t>
  </si>
  <si>
    <t>WONG UT WENG</t>
  </si>
  <si>
    <t>Jena Wong</t>
  </si>
  <si>
    <t>2153542-6</t>
  </si>
  <si>
    <t>Total Enrolment：29 ( 13 M 16 F )</t>
  </si>
  <si>
    <t>黃泓熹</t>
  </si>
  <si>
    <t>WONG WANG HEI</t>
  </si>
  <si>
    <t>Anson Wong</t>
  </si>
  <si>
    <t>2152727-X</t>
  </si>
  <si>
    <t>陳芷瑩</t>
  </si>
  <si>
    <t>CHAN CHI IENG</t>
  </si>
  <si>
    <t>Emily Chan</t>
  </si>
  <si>
    <t>2050550-7</t>
  </si>
  <si>
    <t>陳宥延</t>
  </si>
  <si>
    <t>CHAN IAO IN</t>
  </si>
  <si>
    <t>Liam Chan</t>
  </si>
  <si>
    <t>2053883-9</t>
  </si>
  <si>
    <t>陳泳楠</t>
  </si>
  <si>
    <t>CHAN WENG NAM</t>
  </si>
  <si>
    <t>Corina Chan</t>
  </si>
  <si>
    <t>2050005-X</t>
  </si>
  <si>
    <t>曾浩然</t>
  </si>
  <si>
    <t>CHANG HOU IN</t>
  </si>
  <si>
    <t>Kobe Chang</t>
  </si>
  <si>
    <t>2055691-8</t>
  </si>
  <si>
    <t>周羿宏</t>
  </si>
  <si>
    <t>CHAO NGAI WANG</t>
  </si>
  <si>
    <t>Kimi Chao</t>
  </si>
  <si>
    <t>2053098-6</t>
  </si>
  <si>
    <t>鄭沃嵐</t>
  </si>
  <si>
    <t>CHEANG IOK LAM</t>
  </si>
  <si>
    <t>Athena Cheang</t>
  </si>
  <si>
    <t>2053631-3</t>
  </si>
  <si>
    <t>張芷澄</t>
  </si>
  <si>
    <t>CHEONG CHI CHENG</t>
  </si>
  <si>
    <t>Abby Cheong</t>
  </si>
  <si>
    <t>2054551-7</t>
  </si>
  <si>
    <t>張睿希</t>
  </si>
  <si>
    <t>CHEONG IOI HEI</t>
  </si>
  <si>
    <t>Torres Cheong</t>
  </si>
  <si>
    <t>2055232-7</t>
  </si>
  <si>
    <t>蔡泊宇</t>
  </si>
  <si>
    <t>CHOI PAK U</t>
  </si>
  <si>
    <t>Wyatt Choi</t>
  </si>
  <si>
    <t>2053476-0</t>
  </si>
  <si>
    <t>庄竣皓</t>
  </si>
  <si>
    <t>CHONG CHON HOU</t>
  </si>
  <si>
    <t>Chris Chong</t>
  </si>
  <si>
    <t>2055379-X</t>
  </si>
  <si>
    <t>朱劻洐</t>
  </si>
  <si>
    <t>CHU HONG HANG</t>
  </si>
  <si>
    <t>Osmond Chu</t>
  </si>
  <si>
    <t>2054104-X</t>
  </si>
  <si>
    <t>Alec Lam Cuerva</t>
  </si>
  <si>
    <t>朱穎妍</t>
  </si>
  <si>
    <t>CHU WENG IN</t>
  </si>
  <si>
    <t>Toby Chu</t>
  </si>
  <si>
    <t>2051658-4</t>
  </si>
  <si>
    <t>何靖時</t>
  </si>
  <si>
    <t>HO CHENG SI</t>
  </si>
  <si>
    <t>Jaz Ho</t>
  </si>
  <si>
    <t>2053148-6</t>
  </si>
  <si>
    <t>何馨悅</t>
  </si>
  <si>
    <t>HO HENG UT AILEY</t>
  </si>
  <si>
    <t>Ailey Ho</t>
  </si>
  <si>
    <t>2054846-X</t>
  </si>
  <si>
    <t>洪宇禧</t>
  </si>
  <si>
    <t>HONG U HEI</t>
  </si>
  <si>
    <t>Hayden Hong</t>
  </si>
  <si>
    <t>2055494-X</t>
  </si>
  <si>
    <t>甘曉亮</t>
  </si>
  <si>
    <t>KAM HIO LEONG</t>
  </si>
  <si>
    <t>Hubert Kam</t>
  </si>
  <si>
    <t>2050034-3</t>
  </si>
  <si>
    <t>林梓潁</t>
  </si>
  <si>
    <t>LAM CHI WENG</t>
  </si>
  <si>
    <t>Flora Lam</t>
  </si>
  <si>
    <t>2052535-4</t>
  </si>
  <si>
    <t>林孝準</t>
  </si>
  <si>
    <t>LAM HAO CHON</t>
  </si>
  <si>
    <t>Jun Lam</t>
  </si>
  <si>
    <t>2055635-7</t>
  </si>
  <si>
    <t>林佳淇</t>
  </si>
  <si>
    <t>LAM KAI KEI</t>
  </si>
  <si>
    <t>Katy Lam</t>
  </si>
  <si>
    <t>2051275-9</t>
  </si>
  <si>
    <t>李皓彰</t>
  </si>
  <si>
    <t>LEI HOU CHEONG</t>
  </si>
  <si>
    <t>Horace Lei</t>
  </si>
  <si>
    <t>2052243-6</t>
  </si>
  <si>
    <t>李東泰</t>
  </si>
  <si>
    <t>LEI TONG TAI</t>
  </si>
  <si>
    <t>Rafael Lei</t>
  </si>
  <si>
    <t>2051071-3</t>
  </si>
  <si>
    <t>梁穎欣</t>
  </si>
  <si>
    <t>Leong Weng Ian</t>
  </si>
  <si>
    <t>Taylor Leong</t>
  </si>
  <si>
    <t>2050492-6</t>
  </si>
  <si>
    <t>ES-P4A Student Name List 學生名單</t>
  </si>
  <si>
    <t>廖婥潼</t>
  </si>
  <si>
    <t>LIO CHEOK TONG</t>
  </si>
  <si>
    <t>Camilla Lio</t>
  </si>
  <si>
    <t>2054567-3</t>
  </si>
  <si>
    <t xml:space="preserve">HR Teacher：Leong Weng I, Chansdy 					</t>
  </si>
  <si>
    <t>馬翊晨</t>
  </si>
  <si>
    <t>MA IEK SAN</t>
  </si>
  <si>
    <t>Aiden Ma</t>
  </si>
  <si>
    <t>2050988-X</t>
  </si>
  <si>
    <t>Total Enrolment: 33 ( 15 M 18 F )</t>
  </si>
  <si>
    <t>麥林燕</t>
  </si>
  <si>
    <t>MAK LAM IN</t>
  </si>
  <si>
    <t>Olivia Mak</t>
  </si>
  <si>
    <t>2054512-6</t>
  </si>
  <si>
    <t>倪梓瑜</t>
  </si>
  <si>
    <t>NGAI CHI U</t>
  </si>
  <si>
    <t>Gianna Ngai</t>
  </si>
  <si>
    <t>2055998-4</t>
  </si>
  <si>
    <t>龎子晴</t>
  </si>
  <si>
    <t>PONG CHI CHENG</t>
  </si>
  <si>
    <t>Sunny Pong</t>
  </si>
  <si>
    <t>2054461-8</t>
  </si>
  <si>
    <t>蘇伊澄</t>
  </si>
  <si>
    <t>SOU I CHENG</t>
  </si>
  <si>
    <t>Kaylee Sou</t>
  </si>
  <si>
    <t>2050391-1</t>
  </si>
  <si>
    <t>譚心喬</t>
  </si>
  <si>
    <t>TAM SAM KIO</t>
  </si>
  <si>
    <t>Mavis Tam</t>
  </si>
  <si>
    <t>2052294-0</t>
  </si>
  <si>
    <t>譚悅兒</t>
  </si>
  <si>
    <t>TAM UT I</t>
  </si>
  <si>
    <t>Yuki Tam</t>
  </si>
  <si>
    <t>2053642-9</t>
  </si>
  <si>
    <t>余曉陽</t>
  </si>
  <si>
    <t>U HIO IEONG</t>
  </si>
  <si>
    <t>Jaxith U</t>
  </si>
  <si>
    <t>2052870-1</t>
  </si>
  <si>
    <t>余韋臻</t>
  </si>
  <si>
    <t>U WAI CHON GRACE</t>
  </si>
  <si>
    <t>Grace U</t>
  </si>
  <si>
    <t>2054676-9</t>
  </si>
  <si>
    <t>黃芷俞</t>
  </si>
  <si>
    <t>WONG CHI U</t>
  </si>
  <si>
    <t>Doris Wong</t>
  </si>
  <si>
    <t>2052541-9</t>
  </si>
  <si>
    <t>歐陽玥</t>
  </si>
  <si>
    <t>AO IEONG UT</t>
  </si>
  <si>
    <t>Milla Ao Ieong</t>
  </si>
  <si>
    <t>2054124-4</t>
  </si>
  <si>
    <t>歐陽芯玥</t>
  </si>
  <si>
    <t>AU IEONG SAM UT</t>
  </si>
  <si>
    <t>Luna Au Ieong</t>
  </si>
  <si>
    <t>2052124-3</t>
  </si>
  <si>
    <t>李心諾</t>
  </si>
  <si>
    <t>CAMPOS NG LEI LIANA VICCA</t>
  </si>
  <si>
    <t>Liana Lei</t>
  </si>
  <si>
    <t>2053058-7</t>
  </si>
  <si>
    <t>鄭淏謙</t>
  </si>
  <si>
    <t>CHEANG HOU HIM</t>
  </si>
  <si>
    <t>Dustin Cheang</t>
  </si>
  <si>
    <t>2050525-6</t>
  </si>
  <si>
    <t>鄭伊瑩</t>
  </si>
  <si>
    <t>CHEANG I IENG</t>
  </si>
  <si>
    <t>Candy Cheang</t>
  </si>
  <si>
    <t>2051753-X</t>
  </si>
  <si>
    <t>鄭婉琳</t>
  </si>
  <si>
    <t>CHEANG UN LAM</t>
  </si>
  <si>
    <t>Selina Cheang</t>
  </si>
  <si>
    <t>2053105-2</t>
  </si>
  <si>
    <t>鄭婉芯</t>
  </si>
  <si>
    <t>CHEANG UN SAM</t>
  </si>
  <si>
    <t>Kalina Cheang</t>
  </si>
  <si>
    <t>2051174-4</t>
  </si>
  <si>
    <t>程凱峰</t>
  </si>
  <si>
    <t>CHENG HOI FONG</t>
  </si>
  <si>
    <t>Max Cheng</t>
  </si>
  <si>
    <t>2053599-6</t>
  </si>
  <si>
    <t>張君祐</t>
  </si>
  <si>
    <t>CHEONG KUAN IAO</t>
  </si>
  <si>
    <t>Kingson Cheong</t>
  </si>
  <si>
    <t>2053618-6</t>
  </si>
  <si>
    <t>張馨宇</t>
  </si>
  <si>
    <t>CHEUNG HING YU ALEXANDRA</t>
  </si>
  <si>
    <t>Alexandra Cheung</t>
  </si>
  <si>
    <t>2052433-1</t>
  </si>
  <si>
    <t>趙帖心</t>
  </si>
  <si>
    <t>CHIU TIP SAM</t>
  </si>
  <si>
    <t>Esther Chiu</t>
  </si>
  <si>
    <t>2052482-X</t>
  </si>
  <si>
    <t>鍾宇軒</t>
  </si>
  <si>
    <t>CHONG U HIN</t>
  </si>
  <si>
    <t>Reeve Chong</t>
  </si>
  <si>
    <t>2053669-0</t>
  </si>
  <si>
    <t>何曌正</t>
  </si>
  <si>
    <t>HO CHIO CHENG</t>
  </si>
  <si>
    <t>Cedric Ho</t>
  </si>
  <si>
    <t>2054237-2</t>
  </si>
  <si>
    <t>邱千宸</t>
  </si>
  <si>
    <t>IAO CHIN SAN</t>
  </si>
  <si>
    <t>Chinsan Iao</t>
  </si>
  <si>
    <t>2054700-5</t>
  </si>
  <si>
    <t>ES-P4B Student Name List 學生名單</t>
  </si>
  <si>
    <t>葉雨希</t>
  </si>
  <si>
    <t>IP U HEI</t>
  </si>
  <si>
    <t>Harvey Ip</t>
  </si>
  <si>
    <t>2053044-7</t>
  </si>
  <si>
    <t>高婥蕾</t>
  </si>
  <si>
    <t>KOU CHEOK LOI</t>
  </si>
  <si>
    <t>Belle Kou</t>
  </si>
  <si>
    <t>HR Teacher：Wong Choi Ha, Hana</t>
  </si>
  <si>
    <t>2051033-0</t>
  </si>
  <si>
    <t>黎晨曦</t>
  </si>
  <si>
    <t>LAI SAN HEI</t>
  </si>
  <si>
    <t>Haley Lai</t>
  </si>
  <si>
    <t>Total Enrolment：32 ( 15 M 17 F )</t>
  </si>
  <si>
    <t>2053074-9</t>
  </si>
  <si>
    <t>林柏澔</t>
  </si>
  <si>
    <t>LAM PAK HOU</t>
  </si>
  <si>
    <t>Parco Lam</t>
  </si>
  <si>
    <t>2055813-9</t>
  </si>
  <si>
    <t>劉凌予</t>
  </si>
  <si>
    <t>LAO LENG U</t>
  </si>
  <si>
    <t>Ludens Lao</t>
  </si>
  <si>
    <t>2052843-4</t>
  </si>
  <si>
    <t>劉思源</t>
  </si>
  <si>
    <t>LAO SI UN</t>
  </si>
  <si>
    <t>Cyrus Lao</t>
  </si>
  <si>
    <t>2051153-1</t>
  </si>
  <si>
    <t>李梓筠</t>
  </si>
  <si>
    <t>LEI CHI KUAN</t>
  </si>
  <si>
    <t>Tiana Lei</t>
  </si>
  <si>
    <t>2052982-1</t>
  </si>
  <si>
    <t>李俊賢</t>
  </si>
  <si>
    <t>LEI CHON IN</t>
  </si>
  <si>
    <t>Johnny Lei</t>
  </si>
  <si>
    <t>2051187-6</t>
  </si>
  <si>
    <t>Liana Campos Ng Lei</t>
  </si>
  <si>
    <t>李洛瑤</t>
  </si>
  <si>
    <t>LEI LOK IO</t>
  </si>
  <si>
    <t>2050957-X</t>
  </si>
  <si>
    <t>李悅</t>
  </si>
  <si>
    <t>LEI UT</t>
  </si>
  <si>
    <t>Emma Lei</t>
  </si>
  <si>
    <t>2052509-5</t>
  </si>
  <si>
    <t>梁希洛</t>
  </si>
  <si>
    <t>LEONG HEI LOK</t>
  </si>
  <si>
    <t>Seanna Leong</t>
  </si>
  <si>
    <t>2052168-5</t>
  </si>
  <si>
    <t>梁鎧泓</t>
  </si>
  <si>
    <t>LEUNG HOI WANG</t>
  </si>
  <si>
    <t>Zenas Leung</t>
  </si>
  <si>
    <t>2053685-2</t>
  </si>
  <si>
    <t>吳宛穎</t>
  </si>
  <si>
    <t>NG UN WENG</t>
  </si>
  <si>
    <t>Jenny Ng</t>
  </si>
  <si>
    <t>2055701-9</t>
  </si>
  <si>
    <t>談梓澄</t>
  </si>
  <si>
    <t>TAM CHI CHENG</t>
  </si>
  <si>
    <t>Giselle Tam</t>
  </si>
  <si>
    <t>2052356-4</t>
  </si>
  <si>
    <t>鄧卓峰</t>
  </si>
  <si>
    <t>TANG CHEOK FONG</t>
  </si>
  <si>
    <t>Jacob Tang</t>
  </si>
  <si>
    <t>2055416-8</t>
  </si>
  <si>
    <t>余昭賢</t>
  </si>
  <si>
    <t>U CHIO IN</t>
  </si>
  <si>
    <t>Tyrik U</t>
  </si>
  <si>
    <t>2050945-6</t>
  </si>
  <si>
    <t>尹嘉毅</t>
  </si>
  <si>
    <t>WAN KA NGAI</t>
  </si>
  <si>
    <t>Henry Wan</t>
  </si>
  <si>
    <t>2050683-X</t>
  </si>
  <si>
    <t>胡樂貽</t>
  </si>
  <si>
    <t>WU LOK I</t>
  </si>
  <si>
    <t>Cynthia Wu</t>
  </si>
  <si>
    <t>2050530-2</t>
  </si>
  <si>
    <t>區穎晴</t>
  </si>
  <si>
    <t>AO WENG CHENG</t>
  </si>
  <si>
    <t>Tiffany Ao</t>
  </si>
  <si>
    <t>1951392-5</t>
  </si>
  <si>
    <t>區諾晞</t>
  </si>
  <si>
    <t>AU NOK HEI</t>
  </si>
  <si>
    <t>Torres Au</t>
  </si>
  <si>
    <t>1952074-3</t>
  </si>
  <si>
    <t>歐陽澔政</t>
  </si>
  <si>
    <t>AU YEUNG HOU CHENG</t>
  </si>
  <si>
    <t>Johannes Au</t>
  </si>
  <si>
    <t>1954272-0</t>
  </si>
  <si>
    <t>陳梓琳</t>
  </si>
  <si>
    <t>CHAN CHI LAM</t>
  </si>
  <si>
    <t>Kaylee Chan</t>
  </si>
  <si>
    <t>1952062-X</t>
  </si>
  <si>
    <t>陳子瑜</t>
  </si>
  <si>
    <t>CHAN CHI U</t>
  </si>
  <si>
    <t>Erris Chan</t>
  </si>
  <si>
    <t>1950175-7</t>
  </si>
  <si>
    <t>鄭詩澄</t>
  </si>
  <si>
    <t>CHEANG SI CHENG</t>
  </si>
  <si>
    <t>Grace Cheang</t>
  </si>
  <si>
    <t>1952166-9</t>
  </si>
  <si>
    <t>張誠軒</t>
  </si>
  <si>
    <t>CHEONG SENG HIN</t>
  </si>
  <si>
    <t>Jayden Cheong</t>
  </si>
  <si>
    <t>1953393-4</t>
  </si>
  <si>
    <t>張詩霖</t>
  </si>
  <si>
    <t>CHEUNG SI LAM</t>
  </si>
  <si>
    <t>Celine Cheung</t>
  </si>
  <si>
    <t>1954533-9</t>
  </si>
  <si>
    <t>趙悠言</t>
  </si>
  <si>
    <t>CHIO IAO IN FANYA</t>
  </si>
  <si>
    <t>Fanya Chio</t>
  </si>
  <si>
    <t>1953742-5</t>
  </si>
  <si>
    <t>馮小芸</t>
  </si>
  <si>
    <t>FONG SIO WAN</t>
  </si>
  <si>
    <t>Sharon Fong</t>
  </si>
  <si>
    <t>1954622-X</t>
  </si>
  <si>
    <t>何卓澧</t>
  </si>
  <si>
    <t>HO CHEOK LAI</t>
  </si>
  <si>
    <t>Kasley Ho</t>
  </si>
  <si>
    <t>1950497-7</t>
  </si>
  <si>
    <t>何艾芯</t>
  </si>
  <si>
    <t>HO NGAI SAM</t>
  </si>
  <si>
    <t>Katrina Ho</t>
  </si>
  <si>
    <t>1952118-9</t>
  </si>
  <si>
    <t>許子欣</t>
  </si>
  <si>
    <t>HOI CHI IAN</t>
  </si>
  <si>
    <t>Katie Hoi</t>
  </si>
  <si>
    <t>1955465-6</t>
  </si>
  <si>
    <t>葉栢晞</t>
  </si>
  <si>
    <t>IP PAK HEI</t>
  </si>
  <si>
    <t>Hayden Ip</t>
  </si>
  <si>
    <t>1950217-6</t>
  </si>
  <si>
    <t>郭政賢</t>
  </si>
  <si>
    <t>KOC CHENG IN</t>
  </si>
  <si>
    <t>Alger Koc</t>
  </si>
  <si>
    <t>1955561-X</t>
  </si>
  <si>
    <t>郭柯延</t>
  </si>
  <si>
    <t>KUOK O IN</t>
  </si>
  <si>
    <t>Kyle Kuok</t>
  </si>
  <si>
    <t>1950813-1</t>
  </si>
  <si>
    <t>林莃潼</t>
  </si>
  <si>
    <t>LAM HEI TONG</t>
  </si>
  <si>
    <t>Hayley Lam</t>
  </si>
  <si>
    <t>1955554-7</t>
  </si>
  <si>
    <t>李芊妤</t>
  </si>
  <si>
    <t>LEI CHIN U</t>
  </si>
  <si>
    <t>Cherry Lei</t>
  </si>
  <si>
    <t>1953071-4</t>
  </si>
  <si>
    <t>李沁悠</t>
  </si>
  <si>
    <t>LEI SAM IAO TALISHA</t>
  </si>
  <si>
    <t>Talisha Lei</t>
  </si>
  <si>
    <t>1953905-3</t>
  </si>
  <si>
    <t>李思齊</t>
  </si>
  <si>
    <t>LEI SI CHAI</t>
  </si>
  <si>
    <t>Olivia Lei</t>
  </si>
  <si>
    <t>1950368-7</t>
  </si>
  <si>
    <t>梁焯維</t>
  </si>
  <si>
    <t>LEONG CHEOK WAI</t>
  </si>
  <si>
    <t>Michael Leong</t>
  </si>
  <si>
    <t>1956272-1</t>
  </si>
  <si>
    <t>羅卓祈</t>
  </si>
  <si>
    <t>LO CHEOK KEI</t>
  </si>
  <si>
    <t>Francis Lo</t>
  </si>
  <si>
    <t>1955312-9</t>
  </si>
  <si>
    <t>雷昊洋</t>
  </si>
  <si>
    <t>LOI HOU IEONG MARTELO</t>
  </si>
  <si>
    <t>Martelo Loi</t>
  </si>
  <si>
    <t>1954582-7</t>
  </si>
  <si>
    <t>盧濼潼</t>
  </si>
  <si>
    <t>LOU LOK TONG</t>
  </si>
  <si>
    <t>Laura Lou</t>
  </si>
  <si>
    <t>1955114-2</t>
  </si>
  <si>
    <t>麥頌勛</t>
  </si>
  <si>
    <t>MAK CHONG FAN</t>
  </si>
  <si>
    <t>Matthew Mak</t>
  </si>
  <si>
    <t>1952603-2</t>
  </si>
  <si>
    <t>莫澔翔</t>
  </si>
  <si>
    <t>MOK HOU CHEUNG</t>
  </si>
  <si>
    <t>Todd Mok</t>
  </si>
  <si>
    <t>1950805-0</t>
  </si>
  <si>
    <t>蘇旻竣</t>
  </si>
  <si>
    <t>MOK SOARES FABIANO</t>
  </si>
  <si>
    <t>Fabiano</t>
  </si>
  <si>
    <t>1952156-1</t>
  </si>
  <si>
    <t>吳彥韜</t>
  </si>
  <si>
    <t>NG IN TOU</t>
  </si>
  <si>
    <t>Morgan Ng</t>
  </si>
  <si>
    <t>1950169-2</t>
  </si>
  <si>
    <t>吳佩妤</t>
  </si>
  <si>
    <t>NG PUI U</t>
  </si>
  <si>
    <t>Katiya Ng</t>
  </si>
  <si>
    <t>1953779-4</t>
  </si>
  <si>
    <t>施悅兒</t>
  </si>
  <si>
    <t>SI UT I</t>
  </si>
  <si>
    <t>Olivia Si</t>
  </si>
  <si>
    <t>1953126-5</t>
  </si>
  <si>
    <t>孫藝嘉</t>
  </si>
  <si>
    <t>SUN NGAI KA</t>
  </si>
  <si>
    <t>Gaga Sun</t>
  </si>
  <si>
    <t>1950460-8</t>
  </si>
  <si>
    <t>戴琦琳</t>
  </si>
  <si>
    <t>TAI KEI LAM</t>
  </si>
  <si>
    <t>Kerin Tai</t>
  </si>
  <si>
    <t>1955733-7</t>
  </si>
  <si>
    <t>杜紫穎</t>
  </si>
  <si>
    <t>TOU CHI WENG</t>
  </si>
  <si>
    <t>Iris Tou</t>
  </si>
  <si>
    <t>1852483-4</t>
  </si>
  <si>
    <t>黃皓賢</t>
  </si>
  <si>
    <t>WONG HOU IN</t>
  </si>
  <si>
    <t>Vincent Wong</t>
  </si>
  <si>
    <t>1953348-9</t>
  </si>
  <si>
    <t>胡嘉雯</t>
  </si>
  <si>
    <t>WU KA MAN</t>
  </si>
  <si>
    <t>Carrie Wu</t>
  </si>
  <si>
    <t>1952842-6</t>
  </si>
  <si>
    <t>張子倫</t>
  </si>
  <si>
    <t>ARRAUT CHEUNG ALEJANDRO MARIO</t>
  </si>
  <si>
    <t>Alejandro</t>
  </si>
  <si>
    <t>2256236-2</t>
  </si>
  <si>
    <t>陳熙文</t>
  </si>
  <si>
    <t>CHAN HEI MAN</t>
  </si>
  <si>
    <t>Jason Chan</t>
  </si>
  <si>
    <t>1955443-5</t>
  </si>
  <si>
    <t>陳琛瑜</t>
  </si>
  <si>
    <t>CHAN SAM U</t>
  </si>
  <si>
    <t>Elly Chan</t>
  </si>
  <si>
    <t>1952822-1</t>
  </si>
  <si>
    <t>陳天衡</t>
  </si>
  <si>
    <t>CHAN TIN HANG</t>
  </si>
  <si>
    <t>1953841-3</t>
  </si>
  <si>
    <t>陳梓君</t>
  </si>
  <si>
    <t>CHAN TSZ KWAN</t>
  </si>
  <si>
    <t>Bianca Chan</t>
  </si>
  <si>
    <t>1953990-8</t>
  </si>
  <si>
    <t>陳韋聿</t>
  </si>
  <si>
    <t>CHAN WAI UT</t>
  </si>
  <si>
    <t>Katelynn Chan</t>
  </si>
  <si>
    <t>1955500-8</t>
  </si>
  <si>
    <t>張震灝</t>
  </si>
  <si>
    <t>CHEONG CHAN HOU</t>
  </si>
  <si>
    <t>Jamie Cheong</t>
  </si>
  <si>
    <t>1951099-3</t>
  </si>
  <si>
    <t>張思晴</t>
  </si>
  <si>
    <t>CHEONG SI CHENG</t>
  </si>
  <si>
    <t>Alice Cheong</t>
  </si>
  <si>
    <t>1950622-8</t>
  </si>
  <si>
    <t>何潁熹</t>
  </si>
  <si>
    <t>HO WENG HEI</t>
  </si>
  <si>
    <t>Ashley Ho</t>
  </si>
  <si>
    <t>1951300-3</t>
  </si>
  <si>
    <t>翁楚晴</t>
  </si>
  <si>
    <t>IONG CHO CHENG</t>
  </si>
  <si>
    <t>Elsa Iong</t>
  </si>
  <si>
    <t>1953106-0</t>
  </si>
  <si>
    <t>翁永祺</t>
  </si>
  <si>
    <t>IONG WING KI</t>
  </si>
  <si>
    <t>Julian Iong</t>
  </si>
  <si>
    <t>1950527-2</t>
  </si>
  <si>
    <t>高詠桐</t>
  </si>
  <si>
    <t>KOU WENG TONG</t>
  </si>
  <si>
    <t>Versa Kou</t>
  </si>
  <si>
    <t>1950069-6</t>
  </si>
  <si>
    <t>關穎瑜</t>
  </si>
  <si>
    <t>KUAN WENG U</t>
  </si>
  <si>
    <t>Una Kuan</t>
  </si>
  <si>
    <t>1953727-1</t>
  </si>
  <si>
    <t>黎卓謙</t>
  </si>
  <si>
    <t>LAI CHEOK HIM GEORGE</t>
  </si>
  <si>
    <t>George Lai</t>
  </si>
  <si>
    <t>1952107-3</t>
  </si>
  <si>
    <t>賴珀迪</t>
  </si>
  <si>
    <t>LAI PAK TEK</t>
  </si>
  <si>
    <t>Daniel Lai</t>
  </si>
  <si>
    <t>1954094-9</t>
  </si>
  <si>
    <t>林厚宏</t>
  </si>
  <si>
    <t>LAM HAO WANG</t>
  </si>
  <si>
    <t>Aaron Lam</t>
  </si>
  <si>
    <t>1952843-4</t>
  </si>
  <si>
    <t>林樂暚</t>
  </si>
  <si>
    <t>LAM LOK IO</t>
  </si>
  <si>
    <t>Eunice Lam</t>
  </si>
  <si>
    <t>1953988-6</t>
  </si>
  <si>
    <t>林寶祺</t>
  </si>
  <si>
    <t>LAM POU KEI</t>
  </si>
  <si>
    <t>Kei Kei Lam</t>
  </si>
  <si>
    <t>1953397-7</t>
  </si>
  <si>
    <t>林培鈺</t>
  </si>
  <si>
    <t>LAM PUI IOK AVERY</t>
  </si>
  <si>
    <t>Avery Lam</t>
  </si>
  <si>
    <t>1951012-8</t>
  </si>
  <si>
    <t>林信穎</t>
  </si>
  <si>
    <t>LAM SON WENG</t>
  </si>
  <si>
    <t>Edan Lam</t>
  </si>
  <si>
    <t>1950418-7</t>
  </si>
  <si>
    <t>婁家軒</t>
  </si>
  <si>
    <t>LAU KA HIN</t>
  </si>
  <si>
    <t>Martin Lau</t>
  </si>
  <si>
    <t>1953736-0</t>
  </si>
  <si>
    <t>李澄匡</t>
  </si>
  <si>
    <t>LEI CHENG HONG</t>
  </si>
  <si>
    <t>Caleb Lei</t>
  </si>
  <si>
    <t>1953721-2</t>
  </si>
  <si>
    <t>李奕翹</t>
  </si>
  <si>
    <t>LEI IEK KIO</t>
  </si>
  <si>
    <t>Allie Lei</t>
  </si>
  <si>
    <t>1955153-3</t>
  </si>
  <si>
    <t>李君蕎</t>
  </si>
  <si>
    <t>LEI KUAN KIO</t>
  </si>
  <si>
    <t>Iris Lei</t>
  </si>
  <si>
    <t>1955467-2</t>
  </si>
  <si>
    <t>李汶羲</t>
  </si>
  <si>
    <t>LEI MAN HEI</t>
  </si>
  <si>
    <t>Aiden Lei</t>
  </si>
  <si>
    <t>1955504-0</t>
  </si>
  <si>
    <t>李芯緹</t>
  </si>
  <si>
    <t>LEI SAM TAI</t>
  </si>
  <si>
    <t>Sandy Lei</t>
  </si>
  <si>
    <t>1952498-6</t>
  </si>
  <si>
    <t>梁潔婷</t>
  </si>
  <si>
    <t>LEONG KIT TENG</t>
  </si>
  <si>
    <t>Chloe Leong</t>
  </si>
  <si>
    <t>1955688-8</t>
  </si>
  <si>
    <t>梁傲澄</t>
  </si>
  <si>
    <t>LEUNG NGOU CHENG</t>
  </si>
  <si>
    <t>Valerie Leung</t>
  </si>
  <si>
    <t>1954426-X</t>
  </si>
  <si>
    <t>勞恆熙</t>
  </si>
  <si>
    <t>LOU HANG HEI</t>
  </si>
  <si>
    <t>Max Lou</t>
  </si>
  <si>
    <t>1953831-6</t>
  </si>
  <si>
    <t>顏正行</t>
  </si>
  <si>
    <t>NGAN CHENG HANG LOAM</t>
  </si>
  <si>
    <t>Peter Ngan</t>
  </si>
  <si>
    <t>1951523-5</t>
  </si>
  <si>
    <t>蔡卓諴</t>
  </si>
  <si>
    <t>TSAI CHO HSIEN</t>
  </si>
  <si>
    <t>Prony Tsai</t>
  </si>
  <si>
    <t>2554618-X</t>
  </si>
  <si>
    <t>蔡兆峰</t>
  </si>
  <si>
    <t>TSAI SIO FONG</t>
  </si>
  <si>
    <t>Cedric Tsai</t>
  </si>
  <si>
    <t>1951549-9</t>
  </si>
  <si>
    <t>黃愷悠</t>
  </si>
  <si>
    <t>WONG HOI IAO</t>
  </si>
  <si>
    <t>Venus Wong</t>
  </si>
  <si>
    <t>1950053-X</t>
  </si>
  <si>
    <t>黃嘉鴻</t>
  </si>
  <si>
    <t>WONG KA HONG</t>
  </si>
  <si>
    <t>Daniel Wong</t>
  </si>
  <si>
    <t>1950748-8</t>
  </si>
  <si>
    <t>黃愛穎</t>
  </si>
  <si>
    <t>WONG OI WENG</t>
  </si>
  <si>
    <t>Evania Wong</t>
  </si>
  <si>
    <t>1953581-3</t>
  </si>
  <si>
    <t>ES-P5A Student Name List 學生名單</t>
  </si>
  <si>
    <t>陳俊浩</t>
  </si>
  <si>
    <t>HR Teacher：Tang Teng Ian, Tinly</t>
  </si>
  <si>
    <t>CHAN CHON HOU</t>
  </si>
  <si>
    <t>Justin Chan</t>
  </si>
  <si>
    <t>1855169-6</t>
  </si>
  <si>
    <t>Total Enrolment ：35 ( 16 M 19 F )</t>
  </si>
  <si>
    <t>陳泓霖</t>
  </si>
  <si>
    <t>CHEN WANG LAM</t>
  </si>
  <si>
    <t>Jayden Chen</t>
  </si>
  <si>
    <t>1851547-9</t>
  </si>
  <si>
    <t>趙昕妍</t>
  </si>
  <si>
    <t>CHIO STEPHANIE IAN IN</t>
  </si>
  <si>
    <t>Stephanie Chio</t>
  </si>
  <si>
    <t>1854517-3</t>
  </si>
  <si>
    <t>莊詠琳</t>
  </si>
  <si>
    <t>CHONG WENG LAM</t>
  </si>
  <si>
    <t>Rebecca Chong</t>
  </si>
  <si>
    <t>1851459-6</t>
  </si>
  <si>
    <t>何穎詩</t>
  </si>
  <si>
    <t>HO WENG SI</t>
  </si>
  <si>
    <t>Grace Ho</t>
  </si>
  <si>
    <t>1851300-X</t>
  </si>
  <si>
    <t>翁永昊</t>
  </si>
  <si>
    <t>IONG WING HO</t>
  </si>
  <si>
    <t>Jared Iong</t>
  </si>
  <si>
    <t>1855884-4</t>
  </si>
  <si>
    <t>高俊傑</t>
  </si>
  <si>
    <t>KOU CHON KIT</t>
  </si>
  <si>
    <t>Jake Kou</t>
  </si>
  <si>
    <t>1852091-X</t>
  </si>
  <si>
    <t>林倬堯</t>
  </si>
  <si>
    <t>LAM CHEOK IO</t>
  </si>
  <si>
    <t>Corey Lam</t>
  </si>
  <si>
    <t>1853268-3</t>
  </si>
  <si>
    <t>林君諾</t>
  </si>
  <si>
    <t>LAM KUAN NOK</t>
  </si>
  <si>
    <t>Noah Lam</t>
  </si>
  <si>
    <t>1853170-9</t>
  </si>
  <si>
    <t>林樂澄</t>
  </si>
  <si>
    <t>LAM LOK CHENG</t>
  </si>
  <si>
    <t>Jube Lam</t>
  </si>
  <si>
    <t>1851566-5</t>
  </si>
  <si>
    <t>林佩雯</t>
  </si>
  <si>
    <t>LAM PUI MAN</t>
  </si>
  <si>
    <t>Una Lam</t>
  </si>
  <si>
    <t>1754050-X</t>
  </si>
  <si>
    <t>李卓叡</t>
  </si>
  <si>
    <t>LEI CHEOK IOI</t>
  </si>
  <si>
    <t>Isaac Lei</t>
  </si>
  <si>
    <t>1851885-0</t>
  </si>
  <si>
    <t>李梓嵐</t>
  </si>
  <si>
    <t>LEI CHI LAM</t>
  </si>
  <si>
    <t>Silvia Lei</t>
  </si>
  <si>
    <t>1850078-1</t>
  </si>
  <si>
    <t>李瑋然</t>
  </si>
  <si>
    <t>LEI WAI IN</t>
  </si>
  <si>
    <t>Ines Lei</t>
  </si>
  <si>
    <t>1851970-9</t>
  </si>
  <si>
    <t>李泓熹</t>
  </si>
  <si>
    <t>LEI WANG HEI</t>
  </si>
  <si>
    <t>Shaun Lei</t>
  </si>
  <si>
    <t>1852459-1</t>
  </si>
  <si>
    <t>Fabiano Mok Soares</t>
  </si>
  <si>
    <t>梁凱嵐</t>
  </si>
  <si>
    <t>LEONG HOI LAM</t>
  </si>
  <si>
    <t>Irene Leong</t>
  </si>
  <si>
    <t>1851893-1</t>
  </si>
  <si>
    <t>梁洛霖</t>
  </si>
  <si>
    <t>LEONG LOK LAM</t>
  </si>
  <si>
    <t>Venus Leong</t>
  </si>
  <si>
    <t>1855870-4</t>
  </si>
  <si>
    <t>呂芷潼</t>
  </si>
  <si>
    <t>LOI CHI TONG</t>
  </si>
  <si>
    <t>Venus Loi</t>
  </si>
  <si>
    <t>1852190-8</t>
  </si>
  <si>
    <t>李昊天</t>
  </si>
  <si>
    <t>LI HOU TIN</t>
  </si>
  <si>
    <t>Skylor Li</t>
  </si>
  <si>
    <t>1851904-0</t>
  </si>
  <si>
    <t>黎家萱</t>
  </si>
  <si>
    <t>LI KA HUN</t>
  </si>
  <si>
    <t>Sharon Li</t>
  </si>
  <si>
    <t>1852747-7</t>
  </si>
  <si>
    <t>林子銳</t>
  </si>
  <si>
    <t>LIN CHI IOI</t>
  </si>
  <si>
    <t>Andy Lin</t>
  </si>
  <si>
    <t>1852439-7</t>
  </si>
  <si>
    <t>行為跟進</t>
  </si>
  <si>
    <t>ES-P5B</t>
  </si>
  <si>
    <t>勞雨芊</t>
  </si>
  <si>
    <t>LOU U CHIN</t>
  </si>
  <si>
    <t>Eugenie Lou</t>
  </si>
  <si>
    <t>1855985-9</t>
  </si>
  <si>
    <t>吳恩熙</t>
  </si>
  <si>
    <t>NG IAN HEI</t>
  </si>
  <si>
    <t>Elisa Ng</t>
  </si>
  <si>
    <t>1853349-3</t>
  </si>
  <si>
    <t>吳鋌軒</t>
  </si>
  <si>
    <t>NG TENG HIN</t>
  </si>
  <si>
    <t>Timmy Ng</t>
  </si>
  <si>
    <t>1851229-1</t>
  </si>
  <si>
    <t>湯菀晴</t>
  </si>
  <si>
    <t>TONG UN CHENG</t>
  </si>
  <si>
    <t>Amber Tong</t>
  </si>
  <si>
    <t>1851650-5</t>
  </si>
  <si>
    <t>蔡偉程</t>
  </si>
  <si>
    <t>TSAI WAI CHENG</t>
  </si>
  <si>
    <t>William Tsai</t>
  </si>
  <si>
    <t>1853579-8</t>
  </si>
  <si>
    <t>余貝宜</t>
  </si>
  <si>
    <t>U PUI I</t>
  </si>
  <si>
    <t>Bernice U</t>
  </si>
  <si>
    <t>1850407-8</t>
  </si>
  <si>
    <t>王嘉琪</t>
  </si>
  <si>
    <t>WANG KA KEI</t>
  </si>
  <si>
    <t>Kaitlin Wang</t>
  </si>
  <si>
    <t>1855946-8</t>
  </si>
  <si>
    <t>黃紫瀠</t>
  </si>
  <si>
    <t>WONG CHI IENG</t>
  </si>
  <si>
    <t>Katie Wong</t>
  </si>
  <si>
    <t>1852044-8</t>
  </si>
  <si>
    <t>黃芊愉</t>
  </si>
  <si>
    <t>WONG CHIN U</t>
  </si>
  <si>
    <t>Yuji Wong</t>
  </si>
  <si>
    <t>1851515-0</t>
  </si>
  <si>
    <t>黃雲摯</t>
  </si>
  <si>
    <t>WONG WAN CHI</t>
  </si>
  <si>
    <t>Elvis Wong</t>
  </si>
  <si>
    <t>1850081-1</t>
  </si>
  <si>
    <t>胡樂晞</t>
  </si>
  <si>
    <t>WU LOK HEI</t>
  </si>
  <si>
    <t>Conna Wu</t>
  </si>
  <si>
    <t>1850867-7</t>
  </si>
  <si>
    <t>歐陽靜</t>
  </si>
  <si>
    <t>AO IEONG CHENG</t>
  </si>
  <si>
    <t>Isabella Ao Ieong</t>
  </si>
  <si>
    <t>1850924-X</t>
  </si>
  <si>
    <t>區苑渝</t>
  </si>
  <si>
    <t>AO UN U</t>
  </si>
  <si>
    <t>Sunny Ao</t>
  </si>
  <si>
    <t>1854389-8</t>
  </si>
  <si>
    <t>陳芷妍</t>
  </si>
  <si>
    <t>CHAN CHI IN</t>
  </si>
  <si>
    <t>Ellie Chan</t>
  </si>
  <si>
    <t>1854678-1</t>
  </si>
  <si>
    <t>陳梓茹</t>
  </si>
  <si>
    <t>Sabrina Chan</t>
  </si>
  <si>
    <t>1855182-3</t>
  </si>
  <si>
    <t>陳俊熹</t>
  </si>
  <si>
    <t>CHAN CHON HEI</t>
  </si>
  <si>
    <t>Roy Chan</t>
  </si>
  <si>
    <t>1855834-8</t>
  </si>
  <si>
    <t>蔡奷攸</t>
  </si>
  <si>
    <t>CHOI CHIN IAO</t>
  </si>
  <si>
    <t>Honora Choi</t>
  </si>
  <si>
    <t>1853942-4</t>
  </si>
  <si>
    <t>周柏熹</t>
  </si>
  <si>
    <t>CHOW PAK HEI</t>
  </si>
  <si>
    <t>Oscar Chow</t>
  </si>
  <si>
    <t>1854267-0</t>
  </si>
  <si>
    <t>鄒思穎</t>
  </si>
  <si>
    <t>CHAO SI WENG</t>
  </si>
  <si>
    <t>Hayley Chao</t>
  </si>
  <si>
    <t>1853553-4</t>
  </si>
  <si>
    <t>陳紫曦</t>
  </si>
  <si>
    <t>CHEN CHI HEI</t>
  </si>
  <si>
    <t>Kathy Chen</t>
  </si>
  <si>
    <t>1854102-X</t>
  </si>
  <si>
    <t>ES-P5B Student Name List 學生名單</t>
  </si>
  <si>
    <t>HR Teacher：Tang Pui I, Elise</t>
  </si>
  <si>
    <t>施曦洋</t>
  </si>
  <si>
    <t>DA SILVA ISADORA</t>
  </si>
  <si>
    <t>Isadora Da Silva</t>
  </si>
  <si>
    <t>Total Enrolment：：35 ( 17 M 18 F )</t>
  </si>
  <si>
    <t>1853982-3</t>
  </si>
  <si>
    <t>何靖詩</t>
  </si>
  <si>
    <t>Jayde Ho</t>
  </si>
  <si>
    <t>1851100-7</t>
  </si>
  <si>
    <t>Alejandro Mario, Arraut Cheung</t>
  </si>
  <si>
    <t>何卓騏</t>
  </si>
  <si>
    <t>HO CHEOK KEI</t>
  </si>
  <si>
    <t>Kasper Ho</t>
  </si>
  <si>
    <t>1850050-1</t>
  </si>
  <si>
    <t>何睿朗</t>
  </si>
  <si>
    <t>HO IOI LONG</t>
  </si>
  <si>
    <t>Nathan Ho</t>
  </si>
  <si>
    <t>1853359-0</t>
  </si>
  <si>
    <t>孔慶哲</t>
  </si>
  <si>
    <t>HONG HENG CHIT</t>
  </si>
  <si>
    <t>Thomas Hong</t>
  </si>
  <si>
    <t>1852198-3</t>
  </si>
  <si>
    <t>甄芷晴</t>
  </si>
  <si>
    <t>IAN CHI CHENG</t>
  </si>
  <si>
    <t>Belle Ian</t>
  </si>
  <si>
    <t>1851924-5</t>
  </si>
  <si>
    <t>楊梓霖</t>
  </si>
  <si>
    <t>IEONG CHI LAM</t>
  </si>
  <si>
    <t>Lambert Ieong</t>
  </si>
  <si>
    <t>1853113-X</t>
  </si>
  <si>
    <t>楊諾言</t>
  </si>
  <si>
    <t>IEONG NOK IN</t>
  </si>
  <si>
    <t>Theo Ieong</t>
  </si>
  <si>
    <t>1853137-7</t>
  </si>
  <si>
    <t>高諾言</t>
  </si>
  <si>
    <t>KOU NOK IN</t>
  </si>
  <si>
    <t>Austin Kou</t>
  </si>
  <si>
    <t>1852125-8</t>
  </si>
  <si>
    <t>關鈺如</t>
  </si>
  <si>
    <t>KUAN IOK U</t>
  </si>
  <si>
    <t>Nicole Kuan</t>
  </si>
  <si>
    <t>1855639-6</t>
  </si>
  <si>
    <t>林穎晞</t>
  </si>
  <si>
    <t>LAM WENG HEI</t>
  </si>
  <si>
    <t>Hilary Lam</t>
  </si>
  <si>
    <t>1850751-4</t>
  </si>
  <si>
    <t>劉柏源</t>
  </si>
  <si>
    <t>LAO PAK UN</t>
  </si>
  <si>
    <t>Petrus Lao</t>
  </si>
  <si>
    <t>1855457-1</t>
  </si>
  <si>
    <t>李佳妍</t>
  </si>
  <si>
    <t>LEI KAI IN AURORA</t>
  </si>
  <si>
    <t>Aurora Lei</t>
  </si>
  <si>
    <t>1854680-3</t>
  </si>
  <si>
    <t>梁晞晨</t>
  </si>
  <si>
    <t>Charlotte Leong</t>
  </si>
  <si>
    <t>1853959-9</t>
  </si>
  <si>
    <t>李善雯</t>
  </si>
  <si>
    <t>LI SIN MAN</t>
  </si>
  <si>
    <t>Ashley Li</t>
  </si>
  <si>
    <t>1850471-X</t>
  </si>
  <si>
    <t>湯梓揚</t>
  </si>
  <si>
    <t>TONG CHI IEONG</t>
  </si>
  <si>
    <t>Torres Tong</t>
  </si>
  <si>
    <t>1852809-0</t>
  </si>
  <si>
    <t>黃卓毅</t>
  </si>
  <si>
    <t>WONG CHEOK NGAI</t>
  </si>
  <si>
    <t>Bevis Wong</t>
  </si>
  <si>
    <t>1854729-X</t>
  </si>
  <si>
    <t>黃紫嫣</t>
  </si>
  <si>
    <t>WONG CHI IN</t>
  </si>
  <si>
    <t>Gi Gi Wong</t>
  </si>
  <si>
    <t>1853487-2</t>
  </si>
  <si>
    <t>黃奕銘</t>
  </si>
  <si>
    <t>WONG IEK MENG</t>
  </si>
  <si>
    <t>Carl Wong</t>
  </si>
  <si>
    <t>1850166-4</t>
  </si>
  <si>
    <t>黃美亞</t>
  </si>
  <si>
    <t>WONG MEI A</t>
  </si>
  <si>
    <t>Mia Wong</t>
  </si>
  <si>
    <t>1851538-X</t>
  </si>
  <si>
    <t>黃雨蕎</t>
  </si>
  <si>
    <t>WONG U KIO</t>
  </si>
  <si>
    <t>Yanice Wong</t>
  </si>
  <si>
    <t>1753345-7</t>
  </si>
  <si>
    <t>成績跟進</t>
  </si>
  <si>
    <t>家庭問題</t>
  </si>
  <si>
    <t xml:space="preserve"> Repeat, </t>
  </si>
  <si>
    <t>黃永麟</t>
  </si>
  <si>
    <t>WONG WENG LON</t>
  </si>
  <si>
    <t>William Wong</t>
  </si>
  <si>
    <t>1762281-6</t>
  </si>
  <si>
    <t>嚴日禧</t>
  </si>
  <si>
    <t>YIM YAT HEI</t>
  </si>
  <si>
    <t>Wallace Yim</t>
  </si>
  <si>
    <t>1853369-8</t>
  </si>
  <si>
    <t>ES-P6A Student Name List 學生名單</t>
  </si>
  <si>
    <t>HR Teacher：Tou Soi Ieng, Shirley</t>
  </si>
  <si>
    <t>Total Enrolment: 32 ( 13 M 19 F )</t>
  </si>
  <si>
    <t>ES-P6B Student Name List 學生名單</t>
  </si>
  <si>
    <t>HR Teacher：Lam Nam Lan, Larina</t>
  </si>
  <si>
    <t>Total Enrolment: 32 ( 14 M 18 F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</si>
</sst>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3.0"/>
      <color theme="1"/>
      <name val="Times New Roman"/>
    </font>
    <font>
      <sz val="11.0"/>
      <color rgb="FF000000"/>
      <name val="新細明體"/>
    </font>
    <font>
      <b/>
      <sz val="14.0"/>
      <color theme="1"/>
      <name val="Calibri"/>
    </font>
    <font/>
    <font>
      <color theme="1"/>
      <name val="Arial"/>
      <scheme val="minor"/>
    </font>
    <font>
      <sz val="13.0"/>
      <color theme="1"/>
      <name val="Times New Roman"/>
    </font>
    <font>
      <sz val="12.0"/>
      <color theme="1"/>
      <name val="Calibri"/>
    </font>
    <font>
      <sz val="14.0"/>
      <color theme="1"/>
      <name val="Calibri"/>
    </font>
    <font>
      <sz val="10.0"/>
      <color rgb="FF000000"/>
      <name val="Arial"/>
    </font>
    <font>
      <sz val="12.0"/>
      <color rgb="FF000000"/>
      <name val="Calibri"/>
    </font>
    <font>
      <sz val="10.0"/>
      <color theme="1"/>
      <name val="Arial"/>
    </font>
    <font>
      <b/>
      <sz val="13.0"/>
      <color rgb="FF000000"/>
      <name val="Times New Roman"/>
    </font>
    <font>
      <sz val="13.0"/>
      <color rgb="FF000000"/>
      <name val="Times New Roman"/>
    </font>
    <font>
      <sz val="13.0"/>
      <color rgb="FF0D0D0D"/>
      <name val="Times New Roman"/>
    </font>
    <font>
      <sz val="13.0"/>
      <color rgb="FFFF0000"/>
      <name val="Times New Roman"/>
    </font>
    <font>
      <sz val="13.0"/>
      <color theme="1"/>
      <name val="Arial"/>
    </font>
    <font>
      <sz val="13.0"/>
      <color rgb="FFFF0000"/>
      <name val="Arial"/>
    </font>
    <font>
      <sz val="13.0"/>
      <color theme="1"/>
      <name val="Sassoon Infant Std"/>
    </font>
    <font>
      <sz val="13.0"/>
      <color rgb="FF0D0D0D"/>
      <name val="Arial"/>
    </font>
    <font>
      <sz val="13.0"/>
      <color rgb="FFFF66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sz val="12.0"/>
      <color theme="1"/>
      <name val="Arial"/>
    </font>
    <font>
      <sz val="12.0"/>
      <color theme="1"/>
      <name val="Sassoon Infant Std"/>
    </font>
    <font>
      <sz val="12.0"/>
      <color rgb="FF0D0D0D"/>
      <name val="Arial"/>
    </font>
    <font>
      <sz val="12.0"/>
      <color theme="1"/>
      <name val="PMingLiu"/>
    </font>
    <font>
      <sz val="12.0"/>
      <color rgb="FF000000"/>
      <name val="Arial"/>
    </font>
    <font>
      <sz val="12.0"/>
      <color rgb="FF000000"/>
      <name val="&quot;Sassoon Infant Std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/>
      <top/>
      <bottom/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2" fontId="1" numFmtId="0" xfId="0" applyAlignment="1" applyFill="1" applyFont="1">
      <alignment horizontal="left" readingOrder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/>
    </xf>
    <xf borderId="2" fillId="2" fontId="1" numFmtId="0" xfId="0" applyAlignment="1" applyBorder="1" applyFill="1" applyFont="1">
      <alignment horizontal="left" readingOrder="0"/>
    </xf>
    <xf borderId="1" fillId="0" fontId="7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2" fillId="2" fontId="1" numFmtId="0" xfId="0" applyAlignment="1" applyBorder="1" applyFill="1" applyFont="1">
      <alignment horizontal="left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0" fontId="1" numFmtId="0" xfId="0" applyAlignment="1" applyBorder="1" applyFont="1">
      <alignment horizontal="left"/>
    </xf>
    <xf borderId="1" fillId="0" fontId="12" numFmtId="0" xfId="0" applyAlignment="1" applyBorder="1" applyFont="1">
      <alignment horizontal="left"/>
    </xf>
    <xf borderId="1" fillId="0" fontId="10" numFmtId="0" xfId="0" applyAlignment="1" applyBorder="1" applyFont="1">
      <alignment horizontal="center" shrinkToFit="0" wrapText="0"/>
    </xf>
    <xf borderId="1" fillId="2" fontId="6" numFmtId="0" xfId="0" applyAlignment="1" applyBorder="1" applyFill="1" applyFont="1">
      <alignment horizontal="left"/>
    </xf>
    <xf borderId="4" fillId="0" fontId="13" numFmtId="0" xfId="0" applyAlignment="1" applyBorder="1" applyFont="1">
      <alignment horizontal="left"/>
    </xf>
    <xf borderId="1" fillId="0" fontId="6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left"/>
    </xf>
    <xf borderId="0" fillId="0" fontId="14" numFmtId="0" xfId="0" applyAlignment="1" applyFont="1">
      <alignment horizontal="left"/>
    </xf>
    <xf borderId="6" fillId="2" fontId="15" numFmtId="0" xfId="0" applyAlignment="1" applyBorder="1" applyFill="1" applyFont="1">
      <alignment horizontal="left"/>
    </xf>
    <xf borderId="0" fillId="0" fontId="6" numFmtId="0" xfId="0" applyAlignment="1" applyFont="1">
      <alignment horizontal="left" shrinkToFit="0" wrapText="1"/>
    </xf>
    <xf borderId="7" fillId="0" fontId="13" numFmtId="0" xfId="0" applyAlignment="1" applyBorder="1" applyFont="1">
      <alignment horizontal="left"/>
    </xf>
    <xf borderId="8" fillId="0" fontId="9" numFmtId="0" xfId="0" applyAlignment="1" applyBorder="1" applyFont="1">
      <alignment horizontal="center" vertical="center"/>
    </xf>
    <xf borderId="0" fillId="2" fontId="14" numFmtId="0" xfId="0" applyAlignment="1" applyFill="1" applyFont="1">
      <alignment horizontal="left"/>
    </xf>
    <xf borderId="9" fillId="2" fontId="14" numFmtId="0" xfId="0" applyAlignment="1" applyBorder="1" applyFill="1" applyFont="1">
      <alignment horizontal="left"/>
    </xf>
    <xf borderId="0" fillId="2" fontId="6" numFmtId="0" xfId="0" applyAlignment="1" applyFill="1" applyFont="1">
      <alignment horizontal="left"/>
    </xf>
    <xf borderId="1" fillId="3" fontId="11" numFmtId="0" xfId="0" applyAlignment="1" applyBorder="1" applyFill="1" applyFont="1">
      <alignment horizontal="center" vertical="center"/>
    </xf>
    <xf borderId="10" fillId="0" fontId="10" numFmtId="0" xfId="0" applyAlignment="1" applyBorder="1" applyFont="1">
      <alignment horizontal="center" readingOrder="0" shrinkToFit="0" wrapText="0"/>
    </xf>
    <xf borderId="11" fillId="0" fontId="10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shrinkToFit="0" vertical="bottom" wrapText="0"/>
    </xf>
    <xf borderId="0" fillId="0" fontId="9" numFmtId="0" xfId="0" applyAlignment="1" applyFont="1">
      <alignment horizontal="center" vertical="center"/>
    </xf>
    <xf borderId="1" fillId="3" fontId="9" numFmtId="0" xfId="0" applyAlignment="1" applyBorder="1" applyFill="1" applyFont="1">
      <alignment horizontal="center" vertical="center"/>
    </xf>
    <xf borderId="0" fillId="0" fontId="16" numFmtId="0" xfId="0" applyFont="1"/>
    <xf borderId="1" fillId="0" fontId="1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4" fillId="0" fontId="17" numFmtId="0" xfId="0" applyAlignment="1" applyBorder="1" applyFont="1">
      <alignment horizontal="center"/>
    </xf>
    <xf borderId="4" fillId="0" fontId="18" numFmtId="49" xfId="0" applyBorder="1" applyFont="1" applyNumberFormat="1"/>
    <xf borderId="4" fillId="0" fontId="16" numFmtId="0" xfId="0" applyBorder="1" applyFont="1"/>
    <xf borderId="4" fillId="0" fontId="16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7" fillId="0" fontId="19" numFmtId="0" xfId="0" applyAlignment="1" applyBorder="1" applyFont="1">
      <alignment horizontal="center"/>
    </xf>
    <xf borderId="7" fillId="0" fontId="19" numFmtId="49" xfId="0" applyBorder="1" applyFont="1" applyNumberFormat="1"/>
    <xf borderId="7" fillId="0" fontId="16" numFmtId="0" xfId="0" applyAlignment="1" applyBorder="1" applyFont="1">
      <alignment horizontal="center"/>
    </xf>
    <xf borderId="6" fillId="2" fontId="14" numFmtId="0" xfId="0" applyAlignment="1" applyBorder="1" applyFill="1" applyFont="1">
      <alignment horizontal="left"/>
    </xf>
    <xf borderId="0" fillId="0" fontId="13" numFmtId="0" xfId="0" applyAlignment="1" applyFont="1">
      <alignment horizontal="left"/>
    </xf>
    <xf borderId="12" fillId="2" fontId="17" numFmtId="0" xfId="0" applyAlignment="1" applyBorder="1" applyFill="1" applyFont="1">
      <alignment horizontal="center"/>
    </xf>
    <xf borderId="12" fillId="2" fontId="19" numFmtId="49" xfId="0" applyBorder="1" applyFill="1" applyFont="1" applyNumberFormat="1"/>
    <xf borderId="12" fillId="2" fontId="19" numFmtId="0" xfId="0" applyAlignment="1" applyBorder="1" applyFill="1" applyFont="1">
      <alignment horizontal="center"/>
    </xf>
    <xf borderId="12" fillId="2" fontId="16" numFmtId="0" xfId="0" applyAlignment="1" applyBorder="1" applyFill="1" applyFont="1">
      <alignment horizontal="center"/>
    </xf>
    <xf borderId="12" fillId="2" fontId="16" numFmtId="49" xfId="0" applyBorder="1" applyFill="1" applyFont="1" applyNumberFormat="1"/>
    <xf borderId="1" fillId="2" fontId="19" numFmtId="0" xfId="0" applyAlignment="1" applyBorder="1" applyFill="1" applyFont="1">
      <alignment horizontal="center"/>
    </xf>
    <xf borderId="1" fillId="2" fontId="19" numFmtId="49" xfId="0" applyBorder="1" applyFill="1" applyFont="1" applyNumberFormat="1"/>
    <xf borderId="1" fillId="0" fontId="16" numFmtId="0" xfId="0" applyBorder="1" applyFont="1"/>
    <xf borderId="1" fillId="0" fontId="16" numFmtId="0" xfId="0" applyAlignment="1" applyBorder="1" applyFont="1">
      <alignment horizontal="center"/>
    </xf>
    <xf borderId="4" fillId="0" fontId="14" numFmtId="0" xfId="0" applyAlignment="1" applyBorder="1" applyFont="1">
      <alignment horizontal="left"/>
    </xf>
    <xf borderId="1" fillId="0" fontId="16" numFmtId="49" xfId="0" applyBorder="1" applyFont="1" applyNumberFormat="1"/>
    <xf borderId="7" fillId="0" fontId="18" numFmtId="0" xfId="0" applyAlignment="1" applyBorder="1" applyFont="1">
      <alignment horizontal="center"/>
    </xf>
    <xf borderId="1" fillId="2" fontId="16" numFmtId="0" xfId="0" applyAlignment="1" applyBorder="1" applyFill="1" applyFont="1">
      <alignment horizontal="center"/>
    </xf>
    <xf borderId="1" fillId="0" fontId="18" numFmtId="49" xfId="0" applyBorder="1" applyFont="1" applyNumberFormat="1"/>
    <xf borderId="1" fillId="0" fontId="17" numFmtId="0" xfId="0" applyAlignment="1" applyBorder="1" applyFont="1">
      <alignment horizontal="center"/>
    </xf>
    <xf borderId="7" fillId="0" fontId="18" numFmtId="49" xfId="0" applyBorder="1" applyFont="1" applyNumberFormat="1"/>
    <xf borderId="7" fillId="0" fontId="17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7" fillId="0" fontId="16" numFmtId="49" xfId="0" applyBorder="1" applyFont="1" applyNumberFormat="1"/>
    <xf borderId="1" fillId="0" fontId="8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left" shrinkToFit="0" wrapText="1"/>
    </xf>
    <xf borderId="4" fillId="0" fontId="18" numFmtId="0" xfId="0" applyBorder="1" applyFont="1"/>
    <xf borderId="7" fillId="0" fontId="19" numFmtId="0" xfId="0" applyBorder="1" applyFont="1"/>
    <xf borderId="12" fillId="2" fontId="19" numFmtId="0" xfId="0" applyBorder="1" applyFill="1" applyFont="1"/>
    <xf borderId="12" fillId="2" fontId="16" numFmtId="0" xfId="0" applyBorder="1" applyFill="1" applyFont="1"/>
    <xf borderId="1" fillId="2" fontId="17" numFmtId="0" xfId="0" applyAlignment="1" applyBorder="1" applyFill="1" applyFont="1">
      <alignment horizontal="center"/>
    </xf>
    <xf borderId="1" fillId="2" fontId="19" numFmtId="0" xfId="0" applyBorder="1" applyFill="1" applyFont="1"/>
    <xf borderId="1" fillId="0" fontId="19" numFmtId="0" xfId="0" applyAlignment="1" applyBorder="1" applyFont="1">
      <alignment horizontal="center"/>
    </xf>
    <xf borderId="1" fillId="0" fontId="18" numFmtId="0" xfId="0" applyBorder="1" applyFont="1"/>
    <xf borderId="1" fillId="2" fontId="16" numFmtId="0" xfId="0" applyBorder="1" applyFill="1" applyFont="1"/>
    <xf borderId="13" fillId="2" fontId="17" numFmtId="0" xfId="0" applyAlignment="1" applyBorder="1" applyFill="1" applyFont="1">
      <alignment horizontal="center"/>
    </xf>
    <xf borderId="1" fillId="0" fontId="19" numFmtId="0" xfId="0" applyBorder="1" applyFont="1"/>
    <xf borderId="7" fillId="0" fontId="18" numFmtId="0" xfId="0" applyAlignment="1" applyBorder="1" applyFont="1">
      <alignment readingOrder="0"/>
    </xf>
    <xf borderId="0" fillId="0" fontId="6" numFmtId="0" xfId="0" applyFont="1"/>
    <xf borderId="7" fillId="0" fontId="18" numFmtId="0" xfId="0" applyBorder="1" applyFont="1"/>
    <xf borderId="2" fillId="0" fontId="1" numFmtId="0" xfId="0" applyAlignment="1" applyBorder="1" applyFont="1">
      <alignment horizontal="left" shrinkToFit="0" wrapText="1"/>
    </xf>
    <xf borderId="14" fillId="0" fontId="13" numFmtId="49" xfId="0" applyAlignment="1" applyBorder="1" applyFont="1" applyNumberFormat="1">
      <alignment horizontal="center"/>
    </xf>
    <xf borderId="7" fillId="0" fontId="13" numFmtId="0" xfId="0" applyBorder="1" applyFont="1"/>
    <xf borderId="7" fillId="0" fontId="13" numFmtId="0" xfId="0" applyAlignment="1" applyBorder="1" applyFont="1">
      <alignment horizontal="center"/>
    </xf>
    <xf borderId="0" fillId="0" fontId="13" numFmtId="0" xfId="0" applyFont="1"/>
    <xf borderId="14" fillId="0" fontId="20" numFmtId="49" xfId="0" applyAlignment="1" applyBorder="1" applyFont="1" applyNumberFormat="1">
      <alignment horizontal="center"/>
    </xf>
    <xf borderId="7" fillId="0" fontId="20" numFmtId="49" xfId="0" applyBorder="1" applyFont="1" applyNumberFormat="1"/>
    <xf borderId="7" fillId="0" fontId="20" numFmtId="0" xfId="0" applyBorder="1" applyFont="1"/>
    <xf borderId="1" fillId="0" fontId="13" numFmtId="49" xfId="0" applyAlignment="1" applyBorder="1" applyFont="1" applyNumberFormat="1">
      <alignment horizontal="center"/>
    </xf>
    <xf borderId="7" fillId="0" fontId="13" numFmtId="49" xfId="0" applyBorder="1" applyFont="1" applyNumberFormat="1"/>
    <xf borderId="1" fillId="4" fontId="6" numFmtId="0" xfId="0" applyBorder="1" applyFill="1" applyFont="1"/>
    <xf borderId="1" fillId="0" fontId="6" numFmtId="0" xfId="0" applyBorder="1" applyFont="1"/>
    <xf borderId="1" fillId="0" fontId="6" numFmtId="0" xfId="0" applyAlignment="1" applyBorder="1" applyFont="1">
      <alignment horizontal="center" vertical="center"/>
    </xf>
    <xf borderId="0" fillId="0" fontId="13" numFmtId="49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1" fillId="0" fontId="20" numFmtId="49" xfId="0" applyAlignment="1" applyBorder="1" applyFont="1" applyNumberFormat="1">
      <alignment horizontal="center"/>
    </xf>
    <xf borderId="4" fillId="0" fontId="20" numFmtId="49" xfId="0" applyBorder="1" applyFont="1" applyNumberFormat="1"/>
    <xf borderId="4" fillId="0" fontId="13" numFmtId="0" xfId="0" applyBorder="1" applyFont="1"/>
    <xf borderId="4" fillId="0" fontId="13" numFmtId="0" xfId="0" applyAlignment="1" applyBorder="1" applyFont="1">
      <alignment horizontal="center"/>
    </xf>
    <xf borderId="14" fillId="0" fontId="13" numFmtId="49" xfId="0" applyBorder="1" applyFont="1" applyNumberFormat="1"/>
    <xf borderId="8" fillId="0" fontId="13" numFmtId="0" xfId="0" applyBorder="1" applyFont="1"/>
    <xf borderId="2" fillId="0" fontId="21" numFmtId="0" xfId="0" applyAlignment="1" applyBorder="1" applyFont="1">
      <alignment horizontal="left"/>
    </xf>
    <xf borderId="2" fillId="2" fontId="21" numFmtId="0" xfId="0" applyAlignment="1" applyBorder="1" applyFill="1" applyFont="1">
      <alignment horizontal="left" shrinkToFit="0" wrapText="1"/>
    </xf>
    <xf borderId="1" fillId="0" fontId="21" numFmtId="0" xfId="0" applyAlignment="1" applyBorder="1" applyFont="1">
      <alignment horizontal="center"/>
    </xf>
    <xf borderId="1" fillId="2" fontId="22" numFmtId="0" xfId="0" applyAlignment="1" applyBorder="1" applyFill="1" applyFont="1">
      <alignment horizontal="center"/>
    </xf>
    <xf borderId="4" fillId="0" fontId="23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4" fillId="0" fontId="24" numFmtId="0" xfId="0" applyAlignment="1" applyBorder="1" applyFont="1">
      <alignment horizontal="center"/>
    </xf>
    <xf borderId="7" fillId="0" fontId="23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7" fillId="0" fontId="24" numFmtId="0" xfId="0" applyAlignment="1" applyBorder="1" applyFont="1">
      <alignment horizontal="center"/>
    </xf>
    <xf borderId="12" fillId="2" fontId="23" numFmtId="0" xfId="0" applyAlignment="1" applyBorder="1" applyFill="1" applyFont="1">
      <alignment horizontal="center"/>
    </xf>
    <xf borderId="12" fillId="2" fontId="25" numFmtId="0" xfId="0" applyAlignment="1" applyBorder="1" applyFill="1" applyFont="1">
      <alignment horizontal="center"/>
    </xf>
    <xf borderId="12" fillId="2" fontId="11" numFmtId="0" xfId="0" applyAlignment="1" applyBorder="1" applyFill="1" applyFont="1">
      <alignment horizontal="center"/>
    </xf>
    <xf borderId="1" fillId="0" fontId="22" numFmtId="0" xfId="0" applyAlignment="1" applyBorder="1" applyFont="1">
      <alignment horizontal="center"/>
    </xf>
    <xf borderId="6" fillId="2" fontId="23" numFmtId="0" xfId="0" applyAlignment="1" applyBorder="1" applyFill="1" applyFont="1">
      <alignment horizontal="center"/>
    </xf>
    <xf borderId="6" fillId="2" fontId="25" numFmtId="0" xfId="0" applyAlignment="1" applyBorder="1" applyFill="1" applyFont="1">
      <alignment horizontal="center"/>
    </xf>
    <xf borderId="6" fillId="2" fontId="11" numFmtId="0" xfId="0" applyAlignment="1" applyBorder="1" applyFill="1" applyFont="1">
      <alignment horizontal="center"/>
    </xf>
    <xf borderId="7" fillId="0" fontId="25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0" fontId="11" numFmtId="0" xfId="0" applyAlignment="1" applyFont="1">
      <alignment horizontal="center"/>
    </xf>
    <xf borderId="6" fillId="2" fontId="25" numFmtId="0" xfId="0" applyBorder="1" applyFill="1" applyFont="1"/>
    <xf borderId="0" fillId="0" fontId="11" numFmtId="0" xfId="0" applyFont="1"/>
    <xf borderId="1" fillId="5" fontId="11" numFmtId="0" xfId="0" applyAlignment="1" applyBorder="1" applyFill="1" applyFont="1">
      <alignment horizontal="center"/>
    </xf>
    <xf borderId="1" fillId="5" fontId="26" numFmtId="0" xfId="0" applyAlignment="1" applyBorder="1" applyFill="1" applyFont="1">
      <alignment horizontal="center" shrinkToFit="0" wrapText="1"/>
    </xf>
    <xf borderId="1" fillId="5" fontId="7" numFmtId="0" xfId="0" applyAlignment="1" applyBorder="1" applyFill="1" applyFont="1">
      <alignment horizontal="center" shrinkToFit="0" wrapText="1"/>
    </xf>
    <xf borderId="12" fillId="5" fontId="7" numFmtId="0" xfId="0" applyAlignment="1" applyBorder="1" applyFill="1" applyFont="1">
      <alignment horizontal="center" shrinkToFit="0" wrapText="1"/>
    </xf>
    <xf borderId="14" fillId="0" fontId="25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14" fillId="0" fontId="27" numFmtId="0" xfId="0" applyAlignment="1" applyBorder="1" applyFont="1">
      <alignment horizontal="center"/>
    </xf>
    <xf borderId="7" fillId="0" fontId="28" numFmtId="0" xfId="0" applyAlignment="1" applyBorder="1" applyFont="1">
      <alignment horizontal="center"/>
    </xf>
    <xf borderId="7" fillId="0" fontId="27" numFmtId="0" xfId="0" applyAlignment="1" applyBorder="1" applyFont="1">
      <alignment horizontal="center"/>
    </xf>
    <xf borderId="15" fillId="2" fontId="27" numFmtId="0" xfId="0" applyAlignment="1" applyBorder="1" applyFill="1" applyFont="1">
      <alignment horizontal="center"/>
    </xf>
    <xf borderId="12" fillId="2" fontId="9" numFmtId="0" xfId="0" applyAlignment="1" applyBorder="1" applyFill="1" applyFont="1">
      <alignment horizontal="center"/>
    </xf>
    <xf borderId="15" fillId="2" fontId="25" numFmtId="0" xfId="0" applyAlignment="1" applyBorder="1" applyFill="1" applyFont="1">
      <alignment horizontal="center"/>
    </xf>
    <xf borderId="12" fillId="2" fontId="27" numFmtId="0" xfId="0" applyAlignment="1" applyBorder="1" applyFill="1" applyFont="1">
      <alignment horizontal="center"/>
    </xf>
    <xf borderId="1" fillId="0" fontId="27" numFmtId="0" xfId="0" applyAlignment="1" applyBorder="1" applyFont="1">
      <alignment horizontal="center"/>
    </xf>
    <xf borderId="1" fillId="5" fontId="11" numFmtId="0" xfId="0" applyBorder="1" applyFill="1" applyFont="1"/>
    <xf borderId="2" fillId="2" fontId="21" numFmtId="0" xfId="0" applyAlignment="1" applyBorder="1" applyFill="1" applyFont="1">
      <alignment horizontal="left"/>
    </xf>
    <xf borderId="7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2" fillId="2" fontId="10" numFmtId="0" xfId="0" applyAlignment="1" applyBorder="1" applyFill="1" applyFont="1">
      <alignment horizontal="center"/>
    </xf>
    <xf borderId="1" fillId="2" fontId="10" numFmtId="0" xfId="0" applyAlignment="1" applyBorder="1" applyFill="1" applyFont="1">
      <alignment horizontal="center"/>
    </xf>
    <xf borderId="0" fillId="0" fontId="7" numFmtId="0" xfId="0" applyAlignment="1" applyFont="1">
      <alignment horizontal="center" shrinkToFit="0" wrapText="1"/>
    </xf>
    <xf borderId="1" fillId="2" fontId="9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6.75"/>
    <col customWidth="1" min="5" max="5" width="19.5"/>
  </cols>
  <sheetData>
    <row r="1">
      <c r="A1" s="3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10"/>
      <c r="I1" s="13" t="s">
        <v>11</v>
      </c>
      <c r="J1" s="13" t="s">
        <v>12</v>
      </c>
      <c r="K1" s="13" t="s">
        <v>14</v>
      </c>
      <c r="L1" s="13" t="s">
        <v>15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8" t="s">
        <v>18</v>
      </c>
      <c r="B2" s="19">
        <v>1.0</v>
      </c>
      <c r="C2" s="19" t="s">
        <v>19</v>
      </c>
      <c r="D2" s="19" t="s">
        <v>20</v>
      </c>
      <c r="E2" s="19" t="s">
        <v>21</v>
      </c>
      <c r="F2" s="19" t="s">
        <v>22</v>
      </c>
      <c r="G2" s="19" t="s">
        <v>23</v>
      </c>
      <c r="H2" s="10"/>
      <c r="I2" s="21" t="s">
        <v>18</v>
      </c>
      <c r="J2" s="21" t="s">
        <v>26</v>
      </c>
      <c r="K2" s="21">
        <v>30.0</v>
      </c>
      <c r="L2" s="21">
        <v>60.0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8" t="s">
        <v>18</v>
      </c>
      <c r="B3" s="19">
        <v>2.0</v>
      </c>
      <c r="C3" s="19" t="s">
        <v>32</v>
      </c>
      <c r="D3" s="19" t="s">
        <v>33</v>
      </c>
      <c r="E3" s="19" t="s">
        <v>34</v>
      </c>
      <c r="F3" s="19" t="s">
        <v>30</v>
      </c>
      <c r="G3" s="19" t="s">
        <v>36</v>
      </c>
      <c r="H3" s="10"/>
      <c r="I3" s="21" t="s">
        <v>24</v>
      </c>
      <c r="J3" s="21" t="s">
        <v>37</v>
      </c>
      <c r="K3" s="21">
        <v>30.0</v>
      </c>
      <c r="L3" s="26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8" t="s">
        <v>18</v>
      </c>
      <c r="B4" s="19">
        <v>3.0</v>
      </c>
      <c r="C4" s="19" t="s">
        <v>42</v>
      </c>
      <c r="D4" s="19" t="s">
        <v>43</v>
      </c>
      <c r="E4" s="19" t="s">
        <v>47</v>
      </c>
      <c r="F4" s="19" t="s">
        <v>22</v>
      </c>
      <c r="G4" s="19" t="s">
        <v>46</v>
      </c>
      <c r="H4" s="10"/>
      <c r="I4" s="21" t="s">
        <v>50</v>
      </c>
      <c r="J4" s="21" t="s">
        <v>53</v>
      </c>
      <c r="K4" s="21">
        <v>30.0</v>
      </c>
      <c r="L4" s="21">
        <v>59.0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8" t="s">
        <v>18</v>
      </c>
      <c r="B5" s="19">
        <v>4.0</v>
      </c>
      <c r="C5" s="19" t="s">
        <v>48</v>
      </c>
      <c r="D5" s="19" t="s">
        <v>51</v>
      </c>
      <c r="E5" s="19" t="s">
        <v>69</v>
      </c>
      <c r="F5" s="19" t="s">
        <v>22</v>
      </c>
      <c r="G5" s="19" t="s">
        <v>56</v>
      </c>
      <c r="H5" s="10"/>
      <c r="I5" s="21" t="s">
        <v>75</v>
      </c>
      <c r="J5" s="21" t="s">
        <v>76</v>
      </c>
      <c r="K5" s="21">
        <v>29.0</v>
      </c>
      <c r="L5" s="2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8" t="s">
        <v>18</v>
      </c>
      <c r="B6" s="19">
        <v>5.0</v>
      </c>
      <c r="C6" s="19" t="s">
        <v>59</v>
      </c>
      <c r="D6" s="19" t="s">
        <v>60</v>
      </c>
      <c r="E6" s="19" t="s">
        <v>91</v>
      </c>
      <c r="F6" s="19" t="s">
        <v>30</v>
      </c>
      <c r="G6" s="19" t="s">
        <v>64</v>
      </c>
      <c r="H6" s="10"/>
      <c r="I6" s="21" t="s">
        <v>97</v>
      </c>
      <c r="J6" s="21" t="s">
        <v>98</v>
      </c>
      <c r="K6" s="21">
        <v>30.0</v>
      </c>
      <c r="L6" s="21">
        <v>59.0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8" t="s">
        <v>18</v>
      </c>
      <c r="B7" s="19">
        <v>6.0</v>
      </c>
      <c r="C7" s="19" t="s">
        <v>67</v>
      </c>
      <c r="D7" s="19" t="s">
        <v>70</v>
      </c>
      <c r="E7" s="19" t="s">
        <v>114</v>
      </c>
      <c r="F7" s="19" t="s">
        <v>30</v>
      </c>
      <c r="G7" s="19" t="s">
        <v>73</v>
      </c>
      <c r="H7" s="10"/>
      <c r="I7" s="21" t="s">
        <v>119</v>
      </c>
      <c r="J7" s="21" t="s">
        <v>120</v>
      </c>
      <c r="K7" s="21">
        <v>29.0</v>
      </c>
      <c r="L7" s="2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8" t="s">
        <v>18</v>
      </c>
      <c r="B8" s="19">
        <v>7.0</v>
      </c>
      <c r="C8" s="19" t="s">
        <v>77</v>
      </c>
      <c r="D8" s="19" t="s">
        <v>66</v>
      </c>
      <c r="E8" s="19" t="s">
        <v>131</v>
      </c>
      <c r="F8" s="19" t="s">
        <v>30</v>
      </c>
      <c r="G8" s="19" t="s">
        <v>80</v>
      </c>
      <c r="H8" s="10"/>
      <c r="I8" s="21" t="s">
        <v>137</v>
      </c>
      <c r="J8" s="21" t="s">
        <v>139</v>
      </c>
      <c r="K8" s="21">
        <v>33.0</v>
      </c>
      <c r="L8" s="21">
        <v>65.0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8" t="s">
        <v>18</v>
      </c>
      <c r="B9" s="19">
        <v>8.0</v>
      </c>
      <c r="C9" s="19" t="s">
        <v>82</v>
      </c>
      <c r="D9" s="19" t="s">
        <v>83</v>
      </c>
      <c r="E9" s="19" t="s">
        <v>151</v>
      </c>
      <c r="F9" s="19" t="s">
        <v>30</v>
      </c>
      <c r="G9" s="19" t="s">
        <v>86</v>
      </c>
      <c r="H9" s="10"/>
      <c r="I9" s="21" t="s">
        <v>157</v>
      </c>
      <c r="J9" s="21" t="s">
        <v>161</v>
      </c>
      <c r="K9" s="21">
        <v>32.0</v>
      </c>
      <c r="L9" s="2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8" t="s">
        <v>18</v>
      </c>
      <c r="B10" s="19">
        <v>9.0</v>
      </c>
      <c r="C10" s="19" t="s">
        <v>89</v>
      </c>
      <c r="D10" s="19" t="s">
        <v>90</v>
      </c>
      <c r="E10" s="19" t="s">
        <v>175</v>
      </c>
      <c r="F10" s="19" t="s">
        <v>22</v>
      </c>
      <c r="G10" s="19" t="s">
        <v>94</v>
      </c>
      <c r="H10" s="10"/>
      <c r="I10" s="21" t="s">
        <v>182</v>
      </c>
      <c r="J10" s="21" t="s">
        <v>185</v>
      </c>
      <c r="K10" s="21">
        <v>35.0</v>
      </c>
      <c r="L10" s="21">
        <v>70.0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8" t="s">
        <v>18</v>
      </c>
      <c r="B11" s="19">
        <v>10.0</v>
      </c>
      <c r="C11" s="19" t="s">
        <v>101</v>
      </c>
      <c r="D11" s="19" t="s">
        <v>103</v>
      </c>
      <c r="E11" s="19" t="s">
        <v>194</v>
      </c>
      <c r="F11" s="19" t="s">
        <v>30</v>
      </c>
      <c r="G11" s="19" t="s">
        <v>106</v>
      </c>
      <c r="H11" s="10"/>
      <c r="I11" s="21" t="s">
        <v>199</v>
      </c>
      <c r="J11" s="21" t="s">
        <v>203</v>
      </c>
      <c r="K11" s="21">
        <v>35.0</v>
      </c>
      <c r="L11" s="2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8" t="s">
        <v>18</v>
      </c>
      <c r="B12" s="19">
        <v>11.0</v>
      </c>
      <c r="C12" s="19" t="s">
        <v>108</v>
      </c>
      <c r="D12" s="19" t="s">
        <v>110</v>
      </c>
      <c r="E12" s="19" t="s">
        <v>218</v>
      </c>
      <c r="F12" s="19" t="s">
        <v>30</v>
      </c>
      <c r="G12" s="19" t="s">
        <v>116</v>
      </c>
      <c r="H12" s="10"/>
      <c r="I12" s="21" t="s">
        <v>222</v>
      </c>
      <c r="J12" s="21" t="s">
        <v>224</v>
      </c>
      <c r="K12" s="21">
        <v>32.0</v>
      </c>
      <c r="L12" s="21">
        <v>64.0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8" t="s">
        <v>18</v>
      </c>
      <c r="B13" s="19">
        <v>12.0</v>
      </c>
      <c r="C13" s="19" t="s">
        <v>122</v>
      </c>
      <c r="D13" s="19" t="s">
        <v>123</v>
      </c>
      <c r="E13" s="19" t="s">
        <v>239</v>
      </c>
      <c r="F13" s="19" t="s">
        <v>22</v>
      </c>
      <c r="G13" s="19" t="s">
        <v>127</v>
      </c>
      <c r="H13" s="10"/>
      <c r="I13" s="40" t="s">
        <v>242</v>
      </c>
      <c r="J13" s="41" t="s">
        <v>247</v>
      </c>
      <c r="K13" s="41">
        <v>32.0</v>
      </c>
      <c r="L13" s="43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8" t="s">
        <v>18</v>
      </c>
      <c r="B14" s="19">
        <v>13.0</v>
      </c>
      <c r="C14" s="19" t="s">
        <v>129</v>
      </c>
      <c r="D14" s="19" t="s">
        <v>130</v>
      </c>
      <c r="E14" s="19" t="s">
        <v>267</v>
      </c>
      <c r="F14" s="19" t="s">
        <v>30</v>
      </c>
      <c r="G14" s="19" t="s">
        <v>135</v>
      </c>
      <c r="H14" s="10"/>
      <c r="I14" s="44"/>
      <c r="J14" s="44"/>
      <c r="K14" s="21" t="s">
        <v>278</v>
      </c>
      <c r="L14" s="21">
        <v>377.0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8" t="s">
        <v>18</v>
      </c>
      <c r="B15" s="19">
        <v>14.0</v>
      </c>
      <c r="C15" s="19" t="s">
        <v>143</v>
      </c>
      <c r="D15" s="19" t="s">
        <v>144</v>
      </c>
      <c r="E15" s="19" t="s">
        <v>293</v>
      </c>
      <c r="F15" s="19" t="s">
        <v>22</v>
      </c>
      <c r="G15" s="19" t="s">
        <v>147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8" t="s">
        <v>18</v>
      </c>
      <c r="B16" s="19">
        <v>15.0</v>
      </c>
      <c r="C16" s="19" t="s">
        <v>153</v>
      </c>
      <c r="D16" s="19" t="s">
        <v>154</v>
      </c>
      <c r="E16" s="19" t="s">
        <v>312</v>
      </c>
      <c r="F16" s="19" t="s">
        <v>30</v>
      </c>
      <c r="G16" s="19" t="s">
        <v>160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8" t="s">
        <v>18</v>
      </c>
      <c r="B17" s="19">
        <v>16.0</v>
      </c>
      <c r="C17" s="19" t="s">
        <v>167</v>
      </c>
      <c r="D17" s="19" t="s">
        <v>168</v>
      </c>
      <c r="E17" s="19" t="s">
        <v>327</v>
      </c>
      <c r="F17" s="19" t="s">
        <v>22</v>
      </c>
      <c r="G17" s="19" t="s">
        <v>171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8" t="s">
        <v>18</v>
      </c>
      <c r="B18" s="19">
        <v>17.0</v>
      </c>
      <c r="C18" s="19" t="s">
        <v>176</v>
      </c>
      <c r="D18" s="19" t="s">
        <v>177</v>
      </c>
      <c r="E18" s="19" t="s">
        <v>338</v>
      </c>
      <c r="F18" s="19" t="s">
        <v>22</v>
      </c>
      <c r="G18" s="19" t="s">
        <v>192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8" t="s">
        <v>18</v>
      </c>
      <c r="B19" s="19">
        <v>18.0</v>
      </c>
      <c r="C19" s="19" t="s">
        <v>198</v>
      </c>
      <c r="D19" s="19" t="s">
        <v>202</v>
      </c>
      <c r="E19" s="19" t="s">
        <v>346</v>
      </c>
      <c r="F19" s="19" t="s">
        <v>22</v>
      </c>
      <c r="G19" s="19" t="s">
        <v>207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8" t="s">
        <v>18</v>
      </c>
      <c r="B20" s="19">
        <v>19.0</v>
      </c>
      <c r="C20" s="19" t="s">
        <v>212</v>
      </c>
      <c r="D20" s="19" t="s">
        <v>213</v>
      </c>
      <c r="E20" s="19" t="s">
        <v>357</v>
      </c>
      <c r="F20" s="19" t="s">
        <v>22</v>
      </c>
      <c r="G20" s="19" t="s">
        <v>216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8" t="s">
        <v>18</v>
      </c>
      <c r="B21" s="19">
        <v>20.0</v>
      </c>
      <c r="C21" s="19" t="s">
        <v>221</v>
      </c>
      <c r="D21" s="19" t="s">
        <v>225</v>
      </c>
      <c r="E21" s="19" t="s">
        <v>362</v>
      </c>
      <c r="F21" s="19" t="s">
        <v>30</v>
      </c>
      <c r="G21" s="19" t="s">
        <v>229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8" t="s">
        <v>18</v>
      </c>
      <c r="B22" s="19">
        <v>21.0</v>
      </c>
      <c r="C22" s="19" t="s">
        <v>235</v>
      </c>
      <c r="D22" s="19" t="s">
        <v>237</v>
      </c>
      <c r="E22" s="19" t="s">
        <v>367</v>
      </c>
      <c r="F22" s="19" t="s">
        <v>30</v>
      </c>
      <c r="G22" s="19" t="s">
        <v>241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8" t="s">
        <v>18</v>
      </c>
      <c r="B23" s="19">
        <v>22.0</v>
      </c>
      <c r="C23" s="19" t="s">
        <v>244</v>
      </c>
      <c r="D23" s="19" t="s">
        <v>246</v>
      </c>
      <c r="E23" s="19" t="s">
        <v>372</v>
      </c>
      <c r="F23" s="19" t="s">
        <v>30</v>
      </c>
      <c r="G23" s="19" t="s">
        <v>250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8" t="s">
        <v>18</v>
      </c>
      <c r="B24" s="19">
        <v>23.0</v>
      </c>
      <c r="C24" s="19" t="s">
        <v>254</v>
      </c>
      <c r="D24" s="19" t="s">
        <v>255</v>
      </c>
      <c r="E24" s="19" t="s">
        <v>376</v>
      </c>
      <c r="F24" s="19" t="s">
        <v>30</v>
      </c>
      <c r="G24" s="19" t="s">
        <v>259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8" t="s">
        <v>18</v>
      </c>
      <c r="B25" s="19">
        <v>24.0</v>
      </c>
      <c r="C25" s="19" t="s">
        <v>262</v>
      </c>
      <c r="D25" s="19" t="s">
        <v>263</v>
      </c>
      <c r="E25" s="19" t="s">
        <v>379</v>
      </c>
      <c r="F25" s="19" t="s">
        <v>30</v>
      </c>
      <c r="G25" s="19" t="s">
        <v>266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8" t="s">
        <v>18</v>
      </c>
      <c r="B26" s="19">
        <v>25.0</v>
      </c>
      <c r="C26" s="19" t="s">
        <v>269</v>
      </c>
      <c r="D26" s="19" t="s">
        <v>271</v>
      </c>
      <c r="E26" s="19" t="s">
        <v>383</v>
      </c>
      <c r="F26" s="19" t="s">
        <v>22</v>
      </c>
      <c r="G26" s="19" t="s">
        <v>276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8" t="s">
        <v>18</v>
      </c>
      <c r="B27" s="19">
        <v>26.0</v>
      </c>
      <c r="C27" s="19" t="s">
        <v>280</v>
      </c>
      <c r="D27" s="19" t="s">
        <v>282</v>
      </c>
      <c r="E27" s="19" t="s">
        <v>388</v>
      </c>
      <c r="F27" s="19" t="s">
        <v>30</v>
      </c>
      <c r="G27" s="19" t="s">
        <v>287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8" t="s">
        <v>18</v>
      </c>
      <c r="B28" s="19">
        <v>27.0</v>
      </c>
      <c r="C28" s="19" t="s">
        <v>289</v>
      </c>
      <c r="D28" s="19" t="s">
        <v>291</v>
      </c>
      <c r="E28" s="19" t="s">
        <v>393</v>
      </c>
      <c r="F28" s="19" t="s">
        <v>30</v>
      </c>
      <c r="G28" s="19" t="s">
        <v>296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8" t="s">
        <v>18</v>
      </c>
      <c r="B29" s="19">
        <v>28.0</v>
      </c>
      <c r="C29" s="19" t="s">
        <v>299</v>
      </c>
      <c r="D29" s="19" t="s">
        <v>301</v>
      </c>
      <c r="E29" s="19" t="s">
        <v>397</v>
      </c>
      <c r="F29" s="19" t="s">
        <v>30</v>
      </c>
      <c r="G29" s="19" t="s">
        <v>307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8" t="s">
        <v>18</v>
      </c>
      <c r="B30" s="19">
        <v>29.0</v>
      </c>
      <c r="C30" s="19" t="s">
        <v>309</v>
      </c>
      <c r="D30" s="19" t="s">
        <v>310</v>
      </c>
      <c r="E30" s="19" t="s">
        <v>402</v>
      </c>
      <c r="F30" s="19" t="s">
        <v>22</v>
      </c>
      <c r="G30" s="19" t="s">
        <v>313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8" t="s">
        <v>18</v>
      </c>
      <c r="B31" s="19">
        <v>30.0</v>
      </c>
      <c r="C31" s="19" t="s">
        <v>315</v>
      </c>
      <c r="D31" s="19" t="s">
        <v>316</v>
      </c>
      <c r="E31" s="19" t="s">
        <v>405</v>
      </c>
      <c r="F31" s="19" t="s">
        <v>30</v>
      </c>
      <c r="G31" s="19" t="s">
        <v>320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8" t="s">
        <v>24</v>
      </c>
      <c r="B32" s="19">
        <v>1.0</v>
      </c>
      <c r="C32" s="19" t="s">
        <v>27</v>
      </c>
      <c r="D32" s="19" t="s">
        <v>28</v>
      </c>
      <c r="E32" s="19" t="s">
        <v>413</v>
      </c>
      <c r="F32" s="19" t="s">
        <v>30</v>
      </c>
      <c r="G32" s="19" t="s">
        <v>31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8" t="s">
        <v>24</v>
      </c>
      <c r="B33" s="19">
        <v>2.0</v>
      </c>
      <c r="C33" s="19" t="s">
        <v>39</v>
      </c>
      <c r="D33" s="19" t="s">
        <v>40</v>
      </c>
      <c r="E33" s="19" t="s">
        <v>420</v>
      </c>
      <c r="F33" s="19" t="s">
        <v>22</v>
      </c>
      <c r="G33" s="19" t="s">
        <v>44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8" t="s">
        <v>24</v>
      </c>
      <c r="B34" s="19">
        <v>3.0</v>
      </c>
      <c r="C34" s="19" t="s">
        <v>49</v>
      </c>
      <c r="D34" s="19" t="s">
        <v>52</v>
      </c>
      <c r="E34" s="19" t="s">
        <v>424</v>
      </c>
      <c r="F34" s="19" t="s">
        <v>22</v>
      </c>
      <c r="G34" s="19" t="s">
        <v>57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8" t="s">
        <v>24</v>
      </c>
      <c r="B35" s="19">
        <v>4.0</v>
      </c>
      <c r="C35" s="19" t="s">
        <v>63</v>
      </c>
      <c r="D35" s="19" t="s">
        <v>66</v>
      </c>
      <c r="E35" s="19" t="s">
        <v>433</v>
      </c>
      <c r="F35" s="19" t="s">
        <v>30</v>
      </c>
      <c r="G35" s="19" t="s">
        <v>74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8" t="s">
        <v>24</v>
      </c>
      <c r="B36" s="19">
        <v>5.0</v>
      </c>
      <c r="C36" s="19" t="s">
        <v>79</v>
      </c>
      <c r="D36" s="19" t="s">
        <v>81</v>
      </c>
      <c r="E36" s="19" t="s">
        <v>439</v>
      </c>
      <c r="F36" s="19" t="s">
        <v>30</v>
      </c>
      <c r="G36" s="19" t="s">
        <v>87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8" t="s">
        <v>24</v>
      </c>
      <c r="B37" s="19">
        <v>6.0</v>
      </c>
      <c r="C37" s="19" t="s">
        <v>96</v>
      </c>
      <c r="D37" s="19" t="s">
        <v>99</v>
      </c>
      <c r="E37" s="19" t="s">
        <v>449</v>
      </c>
      <c r="F37" s="19" t="s">
        <v>30</v>
      </c>
      <c r="G37" s="19" t="s">
        <v>105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8" t="s">
        <v>24</v>
      </c>
      <c r="B38" s="19">
        <v>7.0</v>
      </c>
      <c r="C38" s="19" t="s">
        <v>107</v>
      </c>
      <c r="D38" s="19" t="s">
        <v>109</v>
      </c>
      <c r="E38" s="19" t="s">
        <v>461</v>
      </c>
      <c r="F38" s="19" t="s">
        <v>22</v>
      </c>
      <c r="G38" s="19" t="s">
        <v>118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8" t="s">
        <v>24</v>
      </c>
      <c r="B39" s="19">
        <v>8.0</v>
      </c>
      <c r="C39" s="19" t="s">
        <v>124</v>
      </c>
      <c r="D39" s="19" t="s">
        <v>126</v>
      </c>
      <c r="E39" s="19" t="s">
        <v>470</v>
      </c>
      <c r="F39" s="19" t="s">
        <v>30</v>
      </c>
      <c r="G39" s="19" t="s">
        <v>128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8" t="s">
        <v>24</v>
      </c>
      <c r="B40" s="19">
        <v>9.0</v>
      </c>
      <c r="C40" s="19" t="s">
        <v>138</v>
      </c>
      <c r="D40" s="19" t="s">
        <v>140</v>
      </c>
      <c r="E40" s="19" t="s">
        <v>480</v>
      </c>
      <c r="F40" s="19" t="s">
        <v>22</v>
      </c>
      <c r="G40" s="19" t="s">
        <v>145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8" t="s">
        <v>24</v>
      </c>
      <c r="B41" s="19">
        <v>10.0</v>
      </c>
      <c r="C41" s="19" t="s">
        <v>148</v>
      </c>
      <c r="D41" s="19" t="s">
        <v>149</v>
      </c>
      <c r="E41" s="19" t="s">
        <v>488</v>
      </c>
      <c r="F41" s="19" t="s">
        <v>30</v>
      </c>
      <c r="G41" s="19" t="s">
        <v>152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8" t="s">
        <v>24</v>
      </c>
      <c r="B42" s="19">
        <v>11.0</v>
      </c>
      <c r="C42" s="19" t="s">
        <v>158</v>
      </c>
      <c r="D42" s="19" t="s">
        <v>162</v>
      </c>
      <c r="E42" s="19" t="s">
        <v>496</v>
      </c>
      <c r="F42" s="19" t="s">
        <v>30</v>
      </c>
      <c r="G42" s="19" t="s">
        <v>165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8" t="s">
        <v>24</v>
      </c>
      <c r="B43" s="19">
        <v>12.0</v>
      </c>
      <c r="C43" s="19" t="s">
        <v>170</v>
      </c>
      <c r="D43" s="19" t="s">
        <v>172</v>
      </c>
      <c r="E43" s="19" t="s">
        <v>505</v>
      </c>
      <c r="F43" s="19" t="s">
        <v>30</v>
      </c>
      <c r="G43" s="19" t="s">
        <v>174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8" t="s">
        <v>24</v>
      </c>
      <c r="B44" s="19">
        <v>13.0</v>
      </c>
      <c r="C44" s="19" t="s">
        <v>178</v>
      </c>
      <c r="D44" s="19" t="s">
        <v>181</v>
      </c>
      <c r="E44" s="19" t="s">
        <v>511</v>
      </c>
      <c r="F44" s="19" t="s">
        <v>30</v>
      </c>
      <c r="G44" s="19" t="s">
        <v>187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8" t="s">
        <v>24</v>
      </c>
      <c r="B45" s="19">
        <v>14.0</v>
      </c>
      <c r="C45" s="19" t="s">
        <v>189</v>
      </c>
      <c r="D45" s="19" t="s">
        <v>190</v>
      </c>
      <c r="E45" s="19" t="s">
        <v>518</v>
      </c>
      <c r="F45" s="19" t="s">
        <v>22</v>
      </c>
      <c r="G45" s="19" t="s">
        <v>193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8" t="s">
        <v>24</v>
      </c>
      <c r="B46" s="19">
        <v>15.0</v>
      </c>
      <c r="C46" s="19" t="s">
        <v>195</v>
      </c>
      <c r="D46" s="19" t="s">
        <v>197</v>
      </c>
      <c r="E46" s="19" t="s">
        <v>526</v>
      </c>
      <c r="F46" s="19" t="s">
        <v>30</v>
      </c>
      <c r="G46" s="19" t="s">
        <v>206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8" t="s">
        <v>24</v>
      </c>
      <c r="B47" s="19">
        <v>16.0</v>
      </c>
      <c r="C47" s="19" t="s">
        <v>209</v>
      </c>
      <c r="D47" s="19" t="s">
        <v>210</v>
      </c>
      <c r="E47" s="19" t="s">
        <v>537</v>
      </c>
      <c r="F47" s="19" t="s">
        <v>30</v>
      </c>
      <c r="G47" s="19" t="s">
        <v>214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8" t="s">
        <v>24</v>
      </c>
      <c r="B48" s="19">
        <v>17.0</v>
      </c>
      <c r="C48" s="19" t="s">
        <v>217</v>
      </c>
      <c r="D48" s="19" t="s">
        <v>219</v>
      </c>
      <c r="E48" s="19" t="s">
        <v>544</v>
      </c>
      <c r="F48" s="19" t="s">
        <v>30</v>
      </c>
      <c r="G48" s="19" t="s">
        <v>223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8" t="s">
        <v>24</v>
      </c>
      <c r="B49" s="19">
        <v>18.0</v>
      </c>
      <c r="C49" s="19" t="s">
        <v>228</v>
      </c>
      <c r="D49" s="19" t="s">
        <v>231</v>
      </c>
      <c r="E49" s="19" t="s">
        <v>553</v>
      </c>
      <c r="F49" s="19" t="s">
        <v>22</v>
      </c>
      <c r="G49" s="19" t="s">
        <v>236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8" t="s">
        <v>24</v>
      </c>
      <c r="B50" s="19">
        <v>19.0</v>
      </c>
      <c r="C50" s="19" t="s">
        <v>240</v>
      </c>
      <c r="D50" s="19" t="s">
        <v>561</v>
      </c>
      <c r="E50" s="19" t="s">
        <v>563</v>
      </c>
      <c r="F50" s="19" t="s">
        <v>30</v>
      </c>
      <c r="G50" s="19" t="s">
        <v>251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8" t="s">
        <v>24</v>
      </c>
      <c r="B51" s="19">
        <v>20.0</v>
      </c>
      <c r="C51" s="19" t="s">
        <v>258</v>
      </c>
      <c r="D51" s="19" t="s">
        <v>260</v>
      </c>
      <c r="E51" s="19" t="s">
        <v>572</v>
      </c>
      <c r="F51" s="19" t="s">
        <v>30</v>
      </c>
      <c r="G51" s="19" t="s">
        <v>264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8" t="s">
        <v>24</v>
      </c>
      <c r="B52" s="19">
        <v>21.0</v>
      </c>
      <c r="C52" s="19" t="s">
        <v>268</v>
      </c>
      <c r="D52" s="19" t="s">
        <v>270</v>
      </c>
      <c r="E52" s="19" t="s">
        <v>583</v>
      </c>
      <c r="F52" s="19" t="s">
        <v>22</v>
      </c>
      <c r="G52" s="19" t="s">
        <v>275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8" t="s">
        <v>24</v>
      </c>
      <c r="B53" s="19">
        <v>22.0</v>
      </c>
      <c r="C53" s="19" t="s">
        <v>281</v>
      </c>
      <c r="D53" s="19" t="s">
        <v>284</v>
      </c>
      <c r="E53" s="19" t="s">
        <v>590</v>
      </c>
      <c r="F53" s="19" t="s">
        <v>22</v>
      </c>
      <c r="G53" s="19" t="s">
        <v>288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8" t="s">
        <v>24</v>
      </c>
      <c r="B54" s="19">
        <v>23.0</v>
      </c>
      <c r="C54" s="19" t="s">
        <v>290</v>
      </c>
      <c r="D54" s="19" t="s">
        <v>292</v>
      </c>
      <c r="E54" s="19" t="s">
        <v>601</v>
      </c>
      <c r="F54" s="19" t="s">
        <v>30</v>
      </c>
      <c r="G54" s="19" t="s">
        <v>297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8" t="s">
        <v>24</v>
      </c>
      <c r="B55" s="19">
        <v>24.0</v>
      </c>
      <c r="C55" s="19" t="s">
        <v>302</v>
      </c>
      <c r="D55" s="19" t="s">
        <v>304</v>
      </c>
      <c r="E55" s="19" t="s">
        <v>609</v>
      </c>
      <c r="F55" s="19" t="s">
        <v>30</v>
      </c>
      <c r="G55" s="19" t="s">
        <v>314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8" t="s">
        <v>24</v>
      </c>
      <c r="B56" s="19">
        <v>25.0</v>
      </c>
      <c r="C56" s="19" t="s">
        <v>319</v>
      </c>
      <c r="D56" s="19" t="s">
        <v>322</v>
      </c>
      <c r="E56" s="19" t="s">
        <v>618</v>
      </c>
      <c r="F56" s="19" t="s">
        <v>22</v>
      </c>
      <c r="G56" s="19" t="s">
        <v>325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8" t="s">
        <v>24</v>
      </c>
      <c r="B57" s="19">
        <v>26.0</v>
      </c>
      <c r="C57" s="19" t="s">
        <v>328</v>
      </c>
      <c r="D57" s="19" t="s">
        <v>329</v>
      </c>
      <c r="E57" s="19" t="s">
        <v>629</v>
      </c>
      <c r="F57" s="19" t="s">
        <v>22</v>
      </c>
      <c r="G57" s="19" t="s">
        <v>331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8" t="s">
        <v>24</v>
      </c>
      <c r="B58" s="19">
        <v>27.0</v>
      </c>
      <c r="C58" s="19" t="s">
        <v>334</v>
      </c>
      <c r="D58" s="19" t="s">
        <v>336</v>
      </c>
      <c r="E58" s="19" t="s">
        <v>637</v>
      </c>
      <c r="F58" s="19" t="s">
        <v>30</v>
      </c>
      <c r="G58" s="19" t="s">
        <v>340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8" t="s">
        <v>24</v>
      </c>
      <c r="B59" s="19">
        <v>28.0</v>
      </c>
      <c r="C59" s="19" t="s">
        <v>341</v>
      </c>
      <c r="D59" s="19" t="s">
        <v>342</v>
      </c>
      <c r="E59" s="19" t="s">
        <v>646</v>
      </c>
      <c r="F59" s="19" t="s">
        <v>30</v>
      </c>
      <c r="G59" s="19" t="s">
        <v>343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8" t="s">
        <v>24</v>
      </c>
      <c r="B60" s="19">
        <v>29.0</v>
      </c>
      <c r="C60" s="19" t="s">
        <v>345</v>
      </c>
      <c r="D60" s="19" t="s">
        <v>348</v>
      </c>
      <c r="E60" s="19" t="s">
        <v>654</v>
      </c>
      <c r="F60" s="19" t="s">
        <v>22</v>
      </c>
      <c r="G60" s="19" t="s">
        <v>351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8" t="s">
        <v>24</v>
      </c>
      <c r="B61" s="19">
        <v>30.0</v>
      </c>
      <c r="C61" s="19" t="s">
        <v>353</v>
      </c>
      <c r="D61" s="19" t="s">
        <v>354</v>
      </c>
      <c r="E61" s="19" t="s">
        <v>665</v>
      </c>
      <c r="F61" s="19" t="s">
        <v>30</v>
      </c>
      <c r="G61" s="19" t="s">
        <v>356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8" t="s">
        <v>50</v>
      </c>
      <c r="B62" s="19">
        <v>1.0</v>
      </c>
      <c r="C62" s="19" t="s">
        <v>58</v>
      </c>
      <c r="D62" s="79" t="s">
        <v>61</v>
      </c>
      <c r="E62" s="79" t="s">
        <v>671</v>
      </c>
      <c r="F62" s="19" t="s">
        <v>30</v>
      </c>
      <c r="G62" s="79" t="s">
        <v>72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8" t="s">
        <v>50</v>
      </c>
      <c r="B63" s="19">
        <v>2.0</v>
      </c>
      <c r="C63" s="19" t="s">
        <v>88</v>
      </c>
      <c r="D63" s="79" t="s">
        <v>93</v>
      </c>
      <c r="E63" s="79" t="s">
        <v>95</v>
      </c>
      <c r="F63" s="19" t="s">
        <v>30</v>
      </c>
      <c r="G63" s="79" t="s">
        <v>100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8" t="s">
        <v>50</v>
      </c>
      <c r="B64" s="19">
        <v>3.0</v>
      </c>
      <c r="C64" s="19" t="s">
        <v>111</v>
      </c>
      <c r="D64" s="79" t="s">
        <v>115</v>
      </c>
      <c r="E64" s="79" t="s">
        <v>117</v>
      </c>
      <c r="F64" s="79" t="s">
        <v>22</v>
      </c>
      <c r="G64" s="79" t="s">
        <v>121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8" t="s">
        <v>50</v>
      </c>
      <c r="B65" s="19">
        <v>4.0</v>
      </c>
      <c r="C65" s="19" t="s">
        <v>132</v>
      </c>
      <c r="D65" s="79" t="s">
        <v>134</v>
      </c>
      <c r="E65" s="79" t="s">
        <v>136</v>
      </c>
      <c r="F65" s="19" t="s">
        <v>22</v>
      </c>
      <c r="G65" s="19" t="s">
        <v>141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8" t="s">
        <v>50</v>
      </c>
      <c r="B66" s="19">
        <v>5.0</v>
      </c>
      <c r="C66" s="19" t="s">
        <v>155</v>
      </c>
      <c r="D66" s="79" t="s">
        <v>159</v>
      </c>
      <c r="E66" s="79" t="s">
        <v>163</v>
      </c>
      <c r="F66" s="79" t="s">
        <v>22</v>
      </c>
      <c r="G66" s="79" t="s">
        <v>166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8" t="s">
        <v>50</v>
      </c>
      <c r="B67" s="19">
        <v>6.0</v>
      </c>
      <c r="C67" s="19" t="s">
        <v>179</v>
      </c>
      <c r="D67" s="79" t="s">
        <v>184</v>
      </c>
      <c r="E67" s="79" t="s">
        <v>186</v>
      </c>
      <c r="F67" s="79" t="s">
        <v>30</v>
      </c>
      <c r="G67" s="79" t="s">
        <v>188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8" t="s">
        <v>50</v>
      </c>
      <c r="B68" s="19">
        <v>7.0</v>
      </c>
      <c r="C68" s="19" t="s">
        <v>196</v>
      </c>
      <c r="D68" s="79" t="s">
        <v>200</v>
      </c>
      <c r="E68" s="79" t="s">
        <v>205</v>
      </c>
      <c r="F68" s="19" t="s">
        <v>30</v>
      </c>
      <c r="G68" s="79" t="s">
        <v>208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8" t="s">
        <v>50</v>
      </c>
      <c r="B69" s="19">
        <v>8.0</v>
      </c>
      <c r="C69" s="19" t="s">
        <v>227</v>
      </c>
      <c r="D69" s="79" t="s">
        <v>230</v>
      </c>
      <c r="E69" s="79" t="s">
        <v>232</v>
      </c>
      <c r="F69" s="79" t="s">
        <v>30</v>
      </c>
      <c r="G69" s="79" t="s">
        <v>234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8" t="s">
        <v>50</v>
      </c>
      <c r="B70" s="19">
        <v>9.0</v>
      </c>
      <c r="C70" s="19" t="s">
        <v>249</v>
      </c>
      <c r="D70" s="79" t="s">
        <v>252</v>
      </c>
      <c r="E70" s="79" t="s">
        <v>253</v>
      </c>
      <c r="F70" s="79" t="s">
        <v>22</v>
      </c>
      <c r="G70" s="79" t="s">
        <v>257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8" t="s">
        <v>50</v>
      </c>
      <c r="B71" s="19">
        <v>10.0</v>
      </c>
      <c r="C71" s="19" t="s">
        <v>274</v>
      </c>
      <c r="D71" s="79" t="s">
        <v>277</v>
      </c>
      <c r="E71" s="79" t="s">
        <v>279</v>
      </c>
      <c r="F71" s="19" t="s">
        <v>22</v>
      </c>
      <c r="G71" s="79" t="s">
        <v>285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8" t="s">
        <v>50</v>
      </c>
      <c r="B72" s="19">
        <v>11.0</v>
      </c>
      <c r="C72" s="19" t="s">
        <v>298</v>
      </c>
      <c r="D72" s="79" t="s">
        <v>300</v>
      </c>
      <c r="E72" s="79" t="s">
        <v>305</v>
      </c>
      <c r="F72" s="79" t="s">
        <v>22</v>
      </c>
      <c r="G72" s="79" t="s">
        <v>308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8" t="s">
        <v>50</v>
      </c>
      <c r="B73" s="19">
        <v>12.0</v>
      </c>
      <c r="C73" s="19" t="s">
        <v>318</v>
      </c>
      <c r="D73" s="79" t="s">
        <v>321</v>
      </c>
      <c r="E73" s="79" t="s">
        <v>324</v>
      </c>
      <c r="F73" s="79" t="s">
        <v>30</v>
      </c>
      <c r="G73" s="79" t="s">
        <v>326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8" t="s">
        <v>50</v>
      </c>
      <c r="B74" s="19">
        <v>13.0</v>
      </c>
      <c r="C74" s="19" t="s">
        <v>332</v>
      </c>
      <c r="D74" s="19" t="s">
        <v>333</v>
      </c>
      <c r="E74" s="79" t="s">
        <v>335</v>
      </c>
      <c r="F74" s="19" t="s">
        <v>22</v>
      </c>
      <c r="G74" s="19" t="s">
        <v>339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8" t="s">
        <v>50</v>
      </c>
      <c r="B75" s="19">
        <v>14.0</v>
      </c>
      <c r="C75" s="19" t="s">
        <v>344</v>
      </c>
      <c r="D75" s="79" t="s">
        <v>347</v>
      </c>
      <c r="E75" s="79" t="s">
        <v>349</v>
      </c>
      <c r="F75" s="19" t="s">
        <v>22</v>
      </c>
      <c r="G75" s="79" t="s">
        <v>352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8" t="s">
        <v>50</v>
      </c>
      <c r="B76" s="19">
        <v>15.0</v>
      </c>
      <c r="C76" s="19" t="s">
        <v>358</v>
      </c>
      <c r="D76" s="79" t="s">
        <v>359</v>
      </c>
      <c r="E76" s="79" t="s">
        <v>360</v>
      </c>
      <c r="F76" s="79" t="s">
        <v>30</v>
      </c>
      <c r="G76" s="79" t="s">
        <v>361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8" t="s">
        <v>50</v>
      </c>
      <c r="B77" s="19">
        <v>16.0</v>
      </c>
      <c r="C77" s="19" t="s">
        <v>363</v>
      </c>
      <c r="D77" s="79" t="s">
        <v>364</v>
      </c>
      <c r="E77" s="79" t="s">
        <v>365</v>
      </c>
      <c r="F77" s="79" t="s">
        <v>22</v>
      </c>
      <c r="G77" s="79" t="s">
        <v>366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8" t="s">
        <v>50</v>
      </c>
      <c r="B78" s="19">
        <v>17.0</v>
      </c>
      <c r="C78" s="19" t="s">
        <v>368</v>
      </c>
      <c r="D78" s="79" t="s">
        <v>369</v>
      </c>
      <c r="E78" s="79" t="s">
        <v>370</v>
      </c>
      <c r="F78" s="79" t="s">
        <v>22</v>
      </c>
      <c r="G78" s="79" t="s">
        <v>371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8" t="s">
        <v>50</v>
      </c>
      <c r="B79" s="19">
        <v>18.0</v>
      </c>
      <c r="C79" s="19" t="s">
        <v>373</v>
      </c>
      <c r="D79" s="79" t="s">
        <v>374</v>
      </c>
      <c r="E79" s="79" t="s">
        <v>375</v>
      </c>
      <c r="F79" s="79" t="s">
        <v>22</v>
      </c>
      <c r="G79" s="79" t="s">
        <v>377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8" t="s">
        <v>50</v>
      </c>
      <c r="B80" s="19">
        <v>19.0</v>
      </c>
      <c r="C80" s="19" t="s">
        <v>378</v>
      </c>
      <c r="D80" s="79" t="s">
        <v>380</v>
      </c>
      <c r="E80" s="79" t="s">
        <v>381</v>
      </c>
      <c r="F80" s="19" t="s">
        <v>30</v>
      </c>
      <c r="G80" s="79" t="s">
        <v>382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8" t="s">
        <v>50</v>
      </c>
      <c r="B81" s="19">
        <v>20.0</v>
      </c>
      <c r="C81" s="19" t="s">
        <v>384</v>
      </c>
      <c r="D81" s="19" t="s">
        <v>385</v>
      </c>
      <c r="E81" s="79" t="s">
        <v>386</v>
      </c>
      <c r="F81" s="19" t="s">
        <v>30</v>
      </c>
      <c r="G81" s="19" t="s">
        <v>387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8" t="s">
        <v>50</v>
      </c>
      <c r="B82" s="19">
        <v>21.0</v>
      </c>
      <c r="C82" s="19" t="s">
        <v>389</v>
      </c>
      <c r="D82" s="79" t="s">
        <v>390</v>
      </c>
      <c r="E82" s="79" t="s">
        <v>391</v>
      </c>
      <c r="F82" s="79" t="s">
        <v>30</v>
      </c>
      <c r="G82" s="79" t="s">
        <v>392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8" t="s">
        <v>50</v>
      </c>
      <c r="B83" s="19">
        <v>22.0</v>
      </c>
      <c r="C83" s="19" t="s">
        <v>394</v>
      </c>
      <c r="D83" s="79" t="s">
        <v>395</v>
      </c>
      <c r="E83" s="79" t="s">
        <v>396</v>
      </c>
      <c r="F83" s="79" t="s">
        <v>22</v>
      </c>
      <c r="G83" s="79" t="s">
        <v>398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8" t="s">
        <v>50</v>
      </c>
      <c r="B84" s="19">
        <v>23.0</v>
      </c>
      <c r="C84" s="19" t="s">
        <v>399</v>
      </c>
      <c r="D84" s="79" t="s">
        <v>400</v>
      </c>
      <c r="E84" s="79" t="s">
        <v>401</v>
      </c>
      <c r="F84" s="19" t="s">
        <v>22</v>
      </c>
      <c r="G84" s="79" t="s">
        <v>678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8" t="s">
        <v>50</v>
      </c>
      <c r="B85" s="19">
        <v>24.0</v>
      </c>
      <c r="C85" s="19" t="s">
        <v>679</v>
      </c>
      <c r="D85" s="79" t="s">
        <v>406</v>
      </c>
      <c r="E85" s="79" t="s">
        <v>407</v>
      </c>
      <c r="F85" s="19" t="s">
        <v>22</v>
      </c>
      <c r="G85" s="79" t="s">
        <v>408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8" t="s">
        <v>50</v>
      </c>
      <c r="B86" s="19">
        <v>25.0</v>
      </c>
      <c r="C86" s="19" t="s">
        <v>410</v>
      </c>
      <c r="D86" s="19" t="s">
        <v>411</v>
      </c>
      <c r="E86" s="19" t="s">
        <v>412</v>
      </c>
      <c r="F86" s="19" t="s">
        <v>30</v>
      </c>
      <c r="G86" s="19" t="s">
        <v>414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8" t="s">
        <v>50</v>
      </c>
      <c r="B87" s="19">
        <v>26.0</v>
      </c>
      <c r="C87" s="19" t="s">
        <v>417</v>
      </c>
      <c r="D87" s="79" t="s">
        <v>419</v>
      </c>
      <c r="E87" s="79" t="s">
        <v>421</v>
      </c>
      <c r="F87" s="19" t="s">
        <v>30</v>
      </c>
      <c r="G87" s="79" t="s">
        <v>422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8" t="s">
        <v>50</v>
      </c>
      <c r="B88" s="19">
        <v>27.0</v>
      </c>
      <c r="C88" s="19" t="s">
        <v>425</v>
      </c>
      <c r="D88" s="79" t="s">
        <v>426</v>
      </c>
      <c r="E88" s="79" t="s">
        <v>427</v>
      </c>
      <c r="F88" s="79" t="s">
        <v>30</v>
      </c>
      <c r="G88" s="79" t="s">
        <v>429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8" t="s">
        <v>50</v>
      </c>
      <c r="B89" s="19">
        <v>28.0</v>
      </c>
      <c r="C89" s="19" t="s">
        <v>435</v>
      </c>
      <c r="D89" s="79" t="s">
        <v>436</v>
      </c>
      <c r="E89" s="79" t="s">
        <v>437</v>
      </c>
      <c r="F89" s="79" t="s">
        <v>30</v>
      </c>
      <c r="G89" s="79" t="s">
        <v>438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8" t="s">
        <v>50</v>
      </c>
      <c r="B90" s="19">
        <v>29.0</v>
      </c>
      <c r="C90" s="19" t="s">
        <v>443</v>
      </c>
      <c r="D90" s="79" t="s">
        <v>445</v>
      </c>
      <c r="E90" s="79" t="s">
        <v>446</v>
      </c>
      <c r="F90" s="79" t="s">
        <v>22</v>
      </c>
      <c r="G90" s="79" t="s">
        <v>448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8" t="s">
        <v>50</v>
      </c>
      <c r="B91" s="19">
        <v>30.0</v>
      </c>
      <c r="C91" s="19" t="s">
        <v>456</v>
      </c>
      <c r="D91" s="19" t="s">
        <v>457</v>
      </c>
      <c r="E91" s="79" t="s">
        <v>458</v>
      </c>
      <c r="F91" s="19" t="s">
        <v>30</v>
      </c>
      <c r="G91" s="79" t="s">
        <v>460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8" t="s">
        <v>75</v>
      </c>
      <c r="B92" s="19">
        <v>1.0</v>
      </c>
      <c r="C92" s="19" t="s">
        <v>430</v>
      </c>
      <c r="D92" s="79" t="s">
        <v>431</v>
      </c>
      <c r="E92" s="79" t="s">
        <v>432</v>
      </c>
      <c r="F92" s="79" t="s">
        <v>22</v>
      </c>
      <c r="G92" s="79" t="s">
        <v>434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8" t="s">
        <v>75</v>
      </c>
      <c r="B93" s="19">
        <v>2.0</v>
      </c>
      <c r="C93" s="19" t="s">
        <v>440</v>
      </c>
      <c r="D93" s="19" t="s">
        <v>441</v>
      </c>
      <c r="E93" s="19" t="s">
        <v>444</v>
      </c>
      <c r="F93" s="19" t="s">
        <v>22</v>
      </c>
      <c r="G93" s="19" t="s">
        <v>447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8" t="s">
        <v>75</v>
      </c>
      <c r="B94" s="19">
        <v>3.0</v>
      </c>
      <c r="C94" s="19" t="s">
        <v>451</v>
      </c>
      <c r="D94" s="79" t="s">
        <v>452</v>
      </c>
      <c r="E94" s="79" t="s">
        <v>454</v>
      </c>
      <c r="F94" s="19" t="s">
        <v>22</v>
      </c>
      <c r="G94" s="79" t="s">
        <v>455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8" t="s">
        <v>75</v>
      </c>
      <c r="B95" s="19">
        <v>4.0</v>
      </c>
      <c r="C95" s="19" t="s">
        <v>462</v>
      </c>
      <c r="D95" s="79" t="s">
        <v>464</v>
      </c>
      <c r="E95" s="79" t="s">
        <v>680</v>
      </c>
      <c r="F95" s="79" t="s">
        <v>30</v>
      </c>
      <c r="G95" s="79" t="s">
        <v>467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8" t="s">
        <v>75</v>
      </c>
      <c r="B96" s="19">
        <v>5.0</v>
      </c>
      <c r="C96" s="19" t="s">
        <v>471</v>
      </c>
      <c r="D96" s="79" t="s">
        <v>473</v>
      </c>
      <c r="E96" s="79" t="s">
        <v>474</v>
      </c>
      <c r="F96" s="19" t="s">
        <v>22</v>
      </c>
      <c r="G96" s="79" t="s">
        <v>681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8" t="s">
        <v>75</v>
      </c>
      <c r="B97" s="19">
        <v>6.0</v>
      </c>
      <c r="C97" s="19" t="s">
        <v>478</v>
      </c>
      <c r="D97" s="79" t="s">
        <v>481</v>
      </c>
      <c r="E97" s="79" t="s">
        <v>482</v>
      </c>
      <c r="F97" s="19" t="s">
        <v>30</v>
      </c>
      <c r="G97" s="79" t="s">
        <v>483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8" t="s">
        <v>75</v>
      </c>
      <c r="B98" s="19">
        <v>7.0</v>
      </c>
      <c r="C98" s="19" t="s">
        <v>486</v>
      </c>
      <c r="D98" s="79" t="s">
        <v>489</v>
      </c>
      <c r="E98" s="79" t="s">
        <v>682</v>
      </c>
      <c r="F98" s="79" t="s">
        <v>22</v>
      </c>
      <c r="G98" s="79" t="s">
        <v>491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8" t="s">
        <v>75</v>
      </c>
      <c r="B99" s="19">
        <v>8.0</v>
      </c>
      <c r="C99" s="19" t="s">
        <v>494</v>
      </c>
      <c r="D99" s="79" t="s">
        <v>495</v>
      </c>
      <c r="E99" s="79" t="s">
        <v>498</v>
      </c>
      <c r="F99" s="79" t="s">
        <v>22</v>
      </c>
      <c r="G99" s="79" t="s">
        <v>499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8" t="s">
        <v>75</v>
      </c>
      <c r="B100" s="19">
        <v>9.0</v>
      </c>
      <c r="C100" s="19" t="s">
        <v>501</v>
      </c>
      <c r="D100" s="79" t="s">
        <v>502</v>
      </c>
      <c r="E100" s="79" t="s">
        <v>504</v>
      </c>
      <c r="F100" s="79" t="s">
        <v>22</v>
      </c>
      <c r="G100" s="79" t="s">
        <v>507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8" t="s">
        <v>75</v>
      </c>
      <c r="B101" s="19">
        <v>10.0</v>
      </c>
      <c r="C101" s="19" t="s">
        <v>512</v>
      </c>
      <c r="D101" s="79" t="s">
        <v>513</v>
      </c>
      <c r="E101" s="79" t="s">
        <v>514</v>
      </c>
      <c r="F101" s="19" t="s">
        <v>30</v>
      </c>
      <c r="G101" s="79" t="s">
        <v>515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8" t="s">
        <v>75</v>
      </c>
      <c r="B102" s="19">
        <v>11.0</v>
      </c>
      <c r="C102" s="19" t="s">
        <v>519</v>
      </c>
      <c r="D102" s="79" t="s">
        <v>683</v>
      </c>
      <c r="E102" s="79" t="s">
        <v>522</v>
      </c>
      <c r="F102" s="79" t="s">
        <v>30</v>
      </c>
      <c r="G102" s="79" t="s">
        <v>523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8" t="s">
        <v>75</v>
      </c>
      <c r="B103" s="19">
        <v>12.0</v>
      </c>
      <c r="C103" s="19" t="s">
        <v>525</v>
      </c>
      <c r="D103" s="79" t="s">
        <v>528</v>
      </c>
      <c r="E103" s="79" t="s">
        <v>529</v>
      </c>
      <c r="F103" s="79" t="s">
        <v>30</v>
      </c>
      <c r="G103" s="79" t="s">
        <v>531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8" t="s">
        <v>75</v>
      </c>
      <c r="B104" s="19">
        <v>13.0</v>
      </c>
      <c r="C104" s="19" t="s">
        <v>534</v>
      </c>
      <c r="D104" s="79" t="s">
        <v>535</v>
      </c>
      <c r="E104" s="79" t="s">
        <v>538</v>
      </c>
      <c r="F104" s="79" t="s">
        <v>22</v>
      </c>
      <c r="G104" s="79" t="s">
        <v>539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8" t="s">
        <v>75</v>
      </c>
      <c r="B105" s="19">
        <v>14.0</v>
      </c>
      <c r="C105" s="19" t="s">
        <v>541</v>
      </c>
      <c r="D105" s="79" t="s">
        <v>543</v>
      </c>
      <c r="E105" s="79" t="s">
        <v>545</v>
      </c>
      <c r="F105" s="19" t="s">
        <v>30</v>
      </c>
      <c r="G105" s="79" t="s">
        <v>547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8" t="s">
        <v>75</v>
      </c>
      <c r="B106" s="19">
        <v>15.0</v>
      </c>
      <c r="C106" s="19" t="s">
        <v>549</v>
      </c>
      <c r="D106" s="79" t="s">
        <v>550</v>
      </c>
      <c r="E106" s="79" t="s">
        <v>552</v>
      </c>
      <c r="F106" s="79" t="s">
        <v>30</v>
      </c>
      <c r="G106" s="79" t="s">
        <v>555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8" t="s">
        <v>75</v>
      </c>
      <c r="B107" s="19">
        <v>16.0</v>
      </c>
      <c r="C107" s="19" t="s">
        <v>558</v>
      </c>
      <c r="D107" s="19" t="s">
        <v>560</v>
      </c>
      <c r="E107" s="79" t="s">
        <v>562</v>
      </c>
      <c r="F107" s="19" t="s">
        <v>30</v>
      </c>
      <c r="G107" s="19" t="s">
        <v>564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8" t="s">
        <v>75</v>
      </c>
      <c r="B108" s="19">
        <v>17.0</v>
      </c>
      <c r="C108" s="19" t="s">
        <v>568</v>
      </c>
      <c r="D108" s="79" t="s">
        <v>570</v>
      </c>
      <c r="E108" s="79" t="s">
        <v>571</v>
      </c>
      <c r="F108" s="19" t="s">
        <v>30</v>
      </c>
      <c r="G108" s="79" t="s">
        <v>574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8" t="s">
        <v>75</v>
      </c>
      <c r="B109" s="19">
        <v>18.0</v>
      </c>
      <c r="C109" s="19" t="s">
        <v>576</v>
      </c>
      <c r="D109" s="79" t="s">
        <v>578</v>
      </c>
      <c r="E109" s="79" t="s">
        <v>579</v>
      </c>
      <c r="F109" s="79" t="s">
        <v>22</v>
      </c>
      <c r="G109" s="79" t="s">
        <v>581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8" t="s">
        <v>75</v>
      </c>
      <c r="B110" s="19">
        <v>19.0</v>
      </c>
      <c r="C110" s="19" t="s">
        <v>585</v>
      </c>
      <c r="D110" s="19" t="s">
        <v>586</v>
      </c>
      <c r="E110" s="19" t="s">
        <v>588</v>
      </c>
      <c r="F110" s="19" t="s">
        <v>22</v>
      </c>
      <c r="G110" s="19" t="s">
        <v>592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8" t="s">
        <v>75</v>
      </c>
      <c r="B111" s="19">
        <v>20.0</v>
      </c>
      <c r="C111" s="19" t="s">
        <v>596</v>
      </c>
      <c r="D111" s="79" t="s">
        <v>598</v>
      </c>
      <c r="E111" s="79" t="s">
        <v>599</v>
      </c>
      <c r="F111" s="79" t="s">
        <v>30</v>
      </c>
      <c r="G111" s="79" t="s">
        <v>602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8" t="s">
        <v>75</v>
      </c>
      <c r="B112" s="19">
        <v>21.0</v>
      </c>
      <c r="C112" s="19" t="s">
        <v>606</v>
      </c>
      <c r="D112" s="79" t="s">
        <v>607</v>
      </c>
      <c r="E112" s="79" t="s">
        <v>608</v>
      </c>
      <c r="F112" s="19" t="s">
        <v>22</v>
      </c>
      <c r="G112" s="79" t="s">
        <v>610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8" t="s">
        <v>75</v>
      </c>
      <c r="B113" s="19">
        <v>22.0</v>
      </c>
      <c r="C113" s="19" t="s">
        <v>614</v>
      </c>
      <c r="D113" s="19" t="s">
        <v>615</v>
      </c>
      <c r="E113" s="79" t="s">
        <v>616</v>
      </c>
      <c r="F113" s="19" t="s">
        <v>22</v>
      </c>
      <c r="G113" s="19" t="s">
        <v>617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8" t="s">
        <v>75</v>
      </c>
      <c r="B114" s="19">
        <v>23.0</v>
      </c>
      <c r="C114" s="19" t="s">
        <v>622</v>
      </c>
      <c r="D114" s="79" t="s">
        <v>624</v>
      </c>
      <c r="E114" s="79" t="s">
        <v>625</v>
      </c>
      <c r="F114" s="79" t="s">
        <v>30</v>
      </c>
      <c r="G114" s="79" t="s">
        <v>627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8" t="s">
        <v>75</v>
      </c>
      <c r="B115" s="19">
        <v>24.0</v>
      </c>
      <c r="C115" s="19" t="s">
        <v>632</v>
      </c>
      <c r="D115" s="79" t="s">
        <v>633</v>
      </c>
      <c r="E115" s="79" t="s">
        <v>635</v>
      </c>
      <c r="F115" s="19" t="s">
        <v>30</v>
      </c>
      <c r="G115" s="79" t="s">
        <v>636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8" t="s">
        <v>75</v>
      </c>
      <c r="B116" s="19">
        <v>25.0</v>
      </c>
      <c r="C116" s="19" t="s">
        <v>641</v>
      </c>
      <c r="D116" s="79" t="s">
        <v>642</v>
      </c>
      <c r="E116" s="79" t="s">
        <v>643</v>
      </c>
      <c r="F116" s="19" t="s">
        <v>30</v>
      </c>
      <c r="G116" s="79" t="s">
        <v>644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8" t="s">
        <v>75</v>
      </c>
      <c r="B117" s="19">
        <v>26.0</v>
      </c>
      <c r="C117" s="19" t="s">
        <v>648</v>
      </c>
      <c r="D117" s="79" t="s">
        <v>650</v>
      </c>
      <c r="E117" s="79" t="s">
        <v>651</v>
      </c>
      <c r="F117" s="79" t="s">
        <v>22</v>
      </c>
      <c r="G117" s="79" t="s">
        <v>652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8" t="s">
        <v>75</v>
      </c>
      <c r="B118" s="19">
        <v>27.0</v>
      </c>
      <c r="C118" s="19" t="s">
        <v>657</v>
      </c>
      <c r="D118" s="79" t="s">
        <v>658</v>
      </c>
      <c r="E118" s="79" t="s">
        <v>659</v>
      </c>
      <c r="F118" s="79" t="s">
        <v>30</v>
      </c>
      <c r="G118" s="79" t="s">
        <v>684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8" t="s">
        <v>75</v>
      </c>
      <c r="B119" s="19">
        <v>28.0</v>
      </c>
      <c r="C119" s="19" t="s">
        <v>666</v>
      </c>
      <c r="D119" s="79" t="s">
        <v>667</v>
      </c>
      <c r="E119" s="79" t="s">
        <v>668</v>
      </c>
      <c r="F119" s="19" t="s">
        <v>30</v>
      </c>
      <c r="G119" s="79" t="s">
        <v>669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8" t="s">
        <v>75</v>
      </c>
      <c r="B120" s="19">
        <v>29.0</v>
      </c>
      <c r="C120" s="19" t="s">
        <v>672</v>
      </c>
      <c r="D120" s="79" t="s">
        <v>674</v>
      </c>
      <c r="E120" s="79" t="s">
        <v>675</v>
      </c>
      <c r="F120" s="19" t="s">
        <v>22</v>
      </c>
      <c r="G120" s="79" t="s">
        <v>677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9" t="s">
        <v>97</v>
      </c>
      <c r="B121" s="19">
        <v>1.0</v>
      </c>
      <c r="C121" s="19" t="s">
        <v>442</v>
      </c>
      <c r="D121" s="19" t="s">
        <v>685</v>
      </c>
      <c r="E121" s="19" t="s">
        <v>450</v>
      </c>
      <c r="F121" s="19" t="s">
        <v>22</v>
      </c>
      <c r="G121" s="19" t="s">
        <v>453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9" t="s">
        <v>97</v>
      </c>
      <c r="B122" s="19">
        <v>2.0</v>
      </c>
      <c r="C122" s="19" t="s">
        <v>459</v>
      </c>
      <c r="D122" s="19" t="s">
        <v>686</v>
      </c>
      <c r="E122" s="19" t="s">
        <v>463</v>
      </c>
      <c r="F122" s="19" t="s">
        <v>22</v>
      </c>
      <c r="G122" s="19" t="s">
        <v>466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9" t="s">
        <v>97</v>
      </c>
      <c r="B123" s="19">
        <v>3.0</v>
      </c>
      <c r="C123" s="19" t="s">
        <v>468</v>
      </c>
      <c r="D123" s="19" t="s">
        <v>687</v>
      </c>
      <c r="E123" s="19" t="s">
        <v>469</v>
      </c>
      <c r="F123" s="19" t="s">
        <v>30</v>
      </c>
      <c r="G123" s="19" t="s">
        <v>472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9" t="s">
        <v>97</v>
      </c>
      <c r="B124" s="19">
        <v>4.0</v>
      </c>
      <c r="C124" s="19" t="s">
        <v>476</v>
      </c>
      <c r="D124" s="19" t="s">
        <v>688</v>
      </c>
      <c r="E124" s="19" t="s">
        <v>477</v>
      </c>
      <c r="F124" s="19" t="s">
        <v>22</v>
      </c>
      <c r="G124" s="19" t="s">
        <v>479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9" t="s">
        <v>97</v>
      </c>
      <c r="B125" s="19">
        <v>5.0</v>
      </c>
      <c r="C125" s="19" t="s">
        <v>484</v>
      </c>
      <c r="D125" s="19" t="s">
        <v>689</v>
      </c>
      <c r="E125" s="19" t="s">
        <v>485</v>
      </c>
      <c r="F125" s="19" t="s">
        <v>30</v>
      </c>
      <c r="G125" s="19" t="s">
        <v>487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9" t="s">
        <v>97</v>
      </c>
      <c r="B126" s="19">
        <v>6.0</v>
      </c>
      <c r="C126" s="19" t="s">
        <v>492</v>
      </c>
      <c r="D126" s="19" t="s">
        <v>690</v>
      </c>
      <c r="E126" s="19" t="s">
        <v>493</v>
      </c>
      <c r="F126" s="19" t="s">
        <v>30</v>
      </c>
      <c r="G126" s="19" t="s">
        <v>497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9" t="s">
        <v>97</v>
      </c>
      <c r="B127" s="19">
        <v>7.0</v>
      </c>
      <c r="C127" s="19" t="s">
        <v>500</v>
      </c>
      <c r="D127" s="19" t="s">
        <v>691</v>
      </c>
      <c r="E127" s="19" t="s">
        <v>503</v>
      </c>
      <c r="F127" s="19" t="s">
        <v>30</v>
      </c>
      <c r="G127" s="19" t="s">
        <v>506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9" t="s">
        <v>97</v>
      </c>
      <c r="B128" s="19">
        <v>8.0</v>
      </c>
      <c r="C128" s="19" t="s">
        <v>508</v>
      </c>
      <c r="D128" s="19" t="s">
        <v>692</v>
      </c>
      <c r="E128" s="19" t="s">
        <v>509</v>
      </c>
      <c r="F128" s="19" t="s">
        <v>30</v>
      </c>
      <c r="G128" s="19" t="s">
        <v>510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9" t="s">
        <v>97</v>
      </c>
      <c r="B129" s="19">
        <v>9.0</v>
      </c>
      <c r="C129" s="19" t="s">
        <v>516</v>
      </c>
      <c r="D129" s="19" t="s">
        <v>693</v>
      </c>
      <c r="E129" s="19" t="s">
        <v>517</v>
      </c>
      <c r="F129" s="19" t="s">
        <v>22</v>
      </c>
      <c r="G129" s="19" t="s">
        <v>520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9" t="s">
        <v>97</v>
      </c>
      <c r="B130" s="19">
        <v>10.0</v>
      </c>
      <c r="C130" s="19" t="s">
        <v>524</v>
      </c>
      <c r="D130" s="19" t="s">
        <v>694</v>
      </c>
      <c r="E130" s="19" t="s">
        <v>527</v>
      </c>
      <c r="F130" s="19" t="s">
        <v>30</v>
      </c>
      <c r="G130" s="19" t="s">
        <v>530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9" t="s">
        <v>97</v>
      </c>
      <c r="B131" s="19">
        <v>11.0</v>
      </c>
      <c r="C131" s="19" t="s">
        <v>532</v>
      </c>
      <c r="D131" s="19" t="s">
        <v>695</v>
      </c>
      <c r="E131" s="19" t="s">
        <v>533</v>
      </c>
      <c r="F131" s="19" t="s">
        <v>22</v>
      </c>
      <c r="G131" s="19" t="s">
        <v>536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9" t="s">
        <v>97</v>
      </c>
      <c r="B132" s="19">
        <v>12.0</v>
      </c>
      <c r="C132" s="19" t="s">
        <v>540</v>
      </c>
      <c r="D132" s="19" t="s">
        <v>696</v>
      </c>
      <c r="E132" s="19" t="s">
        <v>542</v>
      </c>
      <c r="F132" s="19" t="s">
        <v>22</v>
      </c>
      <c r="G132" s="19" t="s">
        <v>546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9" t="s">
        <v>97</v>
      </c>
      <c r="B133" s="19">
        <v>13.0</v>
      </c>
      <c r="C133" s="19" t="s">
        <v>548</v>
      </c>
      <c r="D133" s="19" t="s">
        <v>697</v>
      </c>
      <c r="E133" s="19" t="s">
        <v>551</v>
      </c>
      <c r="F133" s="19" t="s">
        <v>22</v>
      </c>
      <c r="G133" s="19" t="s">
        <v>554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9" t="s">
        <v>97</v>
      </c>
      <c r="B134" s="19">
        <v>14.0</v>
      </c>
      <c r="C134" s="19" t="s">
        <v>556</v>
      </c>
      <c r="D134" s="19" t="s">
        <v>698</v>
      </c>
      <c r="E134" s="19" t="s">
        <v>557</v>
      </c>
      <c r="F134" s="19" t="s">
        <v>30</v>
      </c>
      <c r="G134" s="19" t="s">
        <v>559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9" t="s">
        <v>97</v>
      </c>
      <c r="B135" s="19">
        <v>15.0</v>
      </c>
      <c r="C135" s="19" t="s">
        <v>565</v>
      </c>
      <c r="D135" s="19" t="s">
        <v>699</v>
      </c>
      <c r="E135" s="19" t="s">
        <v>566</v>
      </c>
      <c r="F135" s="19" t="s">
        <v>30</v>
      </c>
      <c r="G135" s="19" t="s">
        <v>567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9" t="s">
        <v>97</v>
      </c>
      <c r="B136" s="19">
        <v>16.0</v>
      </c>
      <c r="C136" s="19" t="s">
        <v>569</v>
      </c>
      <c r="D136" s="19" t="s">
        <v>700</v>
      </c>
      <c r="E136" s="19" t="s">
        <v>573</v>
      </c>
      <c r="F136" s="19" t="s">
        <v>30</v>
      </c>
      <c r="G136" s="19" t="s">
        <v>575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9" t="s">
        <v>97</v>
      </c>
      <c r="B137" s="19">
        <v>17.0</v>
      </c>
      <c r="C137" s="19" t="s">
        <v>577</v>
      </c>
      <c r="D137" s="19" t="s">
        <v>701</v>
      </c>
      <c r="E137" s="19" t="s">
        <v>580</v>
      </c>
      <c r="F137" s="19" t="s">
        <v>22</v>
      </c>
      <c r="G137" s="19" t="s">
        <v>582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9" t="s">
        <v>97</v>
      </c>
      <c r="B138" s="19">
        <v>18.0</v>
      </c>
      <c r="C138" s="19" t="s">
        <v>584</v>
      </c>
      <c r="D138" s="19" t="s">
        <v>702</v>
      </c>
      <c r="E138" s="19" t="s">
        <v>587</v>
      </c>
      <c r="F138" s="19" t="s">
        <v>30</v>
      </c>
      <c r="G138" s="19" t="s">
        <v>589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9" t="s">
        <v>97</v>
      </c>
      <c r="B139" s="19">
        <v>19.0</v>
      </c>
      <c r="C139" s="19" t="s">
        <v>591</v>
      </c>
      <c r="D139" s="19" t="s">
        <v>703</v>
      </c>
      <c r="E139" s="19" t="s">
        <v>593</v>
      </c>
      <c r="F139" s="19" t="s">
        <v>30</v>
      </c>
      <c r="G139" s="19" t="s">
        <v>594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9" t="s">
        <v>97</v>
      </c>
      <c r="B140" s="19">
        <v>20.0</v>
      </c>
      <c r="C140" s="19" t="s">
        <v>595</v>
      </c>
      <c r="D140" s="19" t="s">
        <v>704</v>
      </c>
      <c r="E140" s="19" t="s">
        <v>597</v>
      </c>
      <c r="F140" s="19" t="s">
        <v>22</v>
      </c>
      <c r="G140" s="19" t="s">
        <v>600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9" t="s">
        <v>97</v>
      </c>
      <c r="B141" s="19">
        <v>21.0</v>
      </c>
      <c r="C141" s="19" t="s">
        <v>603</v>
      </c>
      <c r="D141" s="19" t="s">
        <v>705</v>
      </c>
      <c r="E141" s="19" t="s">
        <v>604</v>
      </c>
      <c r="F141" s="19" t="s">
        <v>22</v>
      </c>
      <c r="G141" s="19" t="s">
        <v>605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9" t="s">
        <v>97</v>
      </c>
      <c r="B142" s="19">
        <v>22.0</v>
      </c>
      <c r="C142" s="19" t="s">
        <v>611</v>
      </c>
      <c r="D142" s="19" t="s">
        <v>706</v>
      </c>
      <c r="E142" s="19" t="s">
        <v>612</v>
      </c>
      <c r="F142" s="19" t="s">
        <v>22</v>
      </c>
      <c r="G142" s="19" t="s">
        <v>613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9" t="s">
        <v>97</v>
      </c>
      <c r="B143" s="19">
        <v>23.0</v>
      </c>
      <c r="C143" s="19" t="s">
        <v>619</v>
      </c>
      <c r="D143" s="19" t="s">
        <v>707</v>
      </c>
      <c r="E143" s="19" t="s">
        <v>620</v>
      </c>
      <c r="F143" s="19" t="s">
        <v>22</v>
      </c>
      <c r="G143" s="19" t="s">
        <v>621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9" t="s">
        <v>97</v>
      </c>
      <c r="B144" s="19">
        <v>24.0</v>
      </c>
      <c r="C144" s="19" t="s">
        <v>623</v>
      </c>
      <c r="D144" s="19" t="s">
        <v>708</v>
      </c>
      <c r="E144" s="19" t="s">
        <v>626</v>
      </c>
      <c r="F144" s="19" t="s">
        <v>22</v>
      </c>
      <c r="G144" s="19" t="s">
        <v>628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9" t="s">
        <v>97</v>
      </c>
      <c r="B145" s="19">
        <v>25.0</v>
      </c>
      <c r="C145" s="19" t="s">
        <v>630</v>
      </c>
      <c r="D145" s="19" t="s">
        <v>709</v>
      </c>
      <c r="E145" s="19" t="s">
        <v>631</v>
      </c>
      <c r="F145" s="19" t="s">
        <v>30</v>
      </c>
      <c r="G145" s="19" t="s">
        <v>634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9" t="s">
        <v>97</v>
      </c>
      <c r="B146" s="19">
        <v>26.0</v>
      </c>
      <c r="C146" s="19" t="s">
        <v>638</v>
      </c>
      <c r="D146" s="19" t="s">
        <v>710</v>
      </c>
      <c r="E146" s="19" t="s">
        <v>639</v>
      </c>
      <c r="F146" s="19" t="s">
        <v>30</v>
      </c>
      <c r="G146" s="19" t="s">
        <v>640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9" t="s">
        <v>97</v>
      </c>
      <c r="B147" s="19">
        <v>27.0</v>
      </c>
      <c r="C147" s="19" t="s">
        <v>645</v>
      </c>
      <c r="D147" s="19" t="s">
        <v>711</v>
      </c>
      <c r="E147" s="19" t="s">
        <v>647</v>
      </c>
      <c r="F147" s="19" t="s">
        <v>30</v>
      </c>
      <c r="G147" s="19" t="s">
        <v>649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9" t="s">
        <v>97</v>
      </c>
      <c r="B148" s="19">
        <v>28.0</v>
      </c>
      <c r="C148" s="19" t="s">
        <v>653</v>
      </c>
      <c r="D148" s="19" t="s">
        <v>712</v>
      </c>
      <c r="E148" s="19" t="s">
        <v>655</v>
      </c>
      <c r="F148" s="19" t="s">
        <v>22</v>
      </c>
      <c r="G148" s="19" t="s">
        <v>656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9" t="s">
        <v>97</v>
      </c>
      <c r="B149" s="19">
        <v>29.0</v>
      </c>
      <c r="C149" s="19" t="s">
        <v>660</v>
      </c>
      <c r="D149" s="19" t="s">
        <v>662</v>
      </c>
      <c r="E149" s="19" t="s">
        <v>663</v>
      </c>
      <c r="F149" s="19" t="s">
        <v>30</v>
      </c>
      <c r="G149" s="19" t="s">
        <v>664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9" t="s">
        <v>97</v>
      </c>
      <c r="B150" s="19">
        <v>30.0</v>
      </c>
      <c r="C150" s="19" t="s">
        <v>670</v>
      </c>
      <c r="D150" s="19" t="s">
        <v>713</v>
      </c>
      <c r="E150" s="19" t="s">
        <v>673</v>
      </c>
      <c r="F150" s="19" t="s">
        <v>30</v>
      </c>
      <c r="G150" s="19" t="s">
        <v>676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9" t="s">
        <v>119</v>
      </c>
      <c r="B151" s="19">
        <v>1.0</v>
      </c>
      <c r="C151" s="19" t="s">
        <v>714</v>
      </c>
      <c r="D151" s="19" t="s">
        <v>715</v>
      </c>
      <c r="E151" s="19" t="s">
        <v>716</v>
      </c>
      <c r="F151" s="19" t="s">
        <v>22</v>
      </c>
      <c r="G151" s="19" t="s">
        <v>717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9" t="s">
        <v>119</v>
      </c>
      <c r="B152" s="19">
        <v>2.0</v>
      </c>
      <c r="C152" s="19" t="s">
        <v>718</v>
      </c>
      <c r="D152" s="19" t="s">
        <v>719</v>
      </c>
      <c r="E152" s="19" t="s">
        <v>720</v>
      </c>
      <c r="F152" s="19" t="s">
        <v>30</v>
      </c>
      <c r="G152" s="19" t="s">
        <v>721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9" t="s">
        <v>119</v>
      </c>
      <c r="B153" s="19">
        <v>3.0</v>
      </c>
      <c r="C153" s="19" t="s">
        <v>722</v>
      </c>
      <c r="D153" s="19" t="s">
        <v>723</v>
      </c>
      <c r="E153" s="19" t="s">
        <v>724</v>
      </c>
      <c r="F153" s="19" t="s">
        <v>30</v>
      </c>
      <c r="G153" s="19" t="s">
        <v>725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9" t="s">
        <v>119</v>
      </c>
      <c r="B154" s="19">
        <v>4.0</v>
      </c>
      <c r="C154" s="19" t="s">
        <v>726</v>
      </c>
      <c r="D154" s="19" t="s">
        <v>727</v>
      </c>
      <c r="E154" s="19" t="s">
        <v>728</v>
      </c>
      <c r="F154" s="19" t="s">
        <v>22</v>
      </c>
      <c r="G154" s="19" t="s">
        <v>729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9" t="s">
        <v>119</v>
      </c>
      <c r="B155" s="19">
        <v>5.0</v>
      </c>
      <c r="C155" s="19" t="s">
        <v>730</v>
      </c>
      <c r="D155" s="19" t="s">
        <v>731</v>
      </c>
      <c r="E155" s="19" t="s">
        <v>732</v>
      </c>
      <c r="F155" s="19" t="s">
        <v>22</v>
      </c>
      <c r="G155" s="19" t="s">
        <v>733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9" t="s">
        <v>119</v>
      </c>
      <c r="B156" s="19">
        <v>6.0</v>
      </c>
      <c r="C156" s="19" t="s">
        <v>734</v>
      </c>
      <c r="D156" s="19" t="s">
        <v>735</v>
      </c>
      <c r="E156" s="19" t="s">
        <v>736</v>
      </c>
      <c r="F156" s="19" t="s">
        <v>30</v>
      </c>
      <c r="G156" s="19" t="s">
        <v>737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9" t="s">
        <v>119</v>
      </c>
      <c r="B157" s="19">
        <v>7.0</v>
      </c>
      <c r="C157" s="19" t="s">
        <v>738</v>
      </c>
      <c r="D157" s="19" t="s">
        <v>739</v>
      </c>
      <c r="E157" s="19" t="s">
        <v>740</v>
      </c>
      <c r="F157" s="19" t="s">
        <v>22</v>
      </c>
      <c r="G157" s="19" t="s">
        <v>741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9" t="s">
        <v>119</v>
      </c>
      <c r="B158" s="19">
        <v>8.0</v>
      </c>
      <c r="C158" s="19" t="s">
        <v>742</v>
      </c>
      <c r="D158" s="19" t="s">
        <v>743</v>
      </c>
      <c r="E158" s="19" t="s">
        <v>744</v>
      </c>
      <c r="F158" s="19" t="s">
        <v>30</v>
      </c>
      <c r="G158" s="19" t="s">
        <v>745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9" t="s">
        <v>119</v>
      </c>
      <c r="B159" s="19">
        <v>9.0</v>
      </c>
      <c r="C159" s="19" t="s">
        <v>746</v>
      </c>
      <c r="D159" s="19" t="s">
        <v>747</v>
      </c>
      <c r="E159" s="19" t="s">
        <v>748</v>
      </c>
      <c r="F159" s="19" t="s">
        <v>30</v>
      </c>
      <c r="G159" s="19" t="s">
        <v>749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9" t="s">
        <v>119</v>
      </c>
      <c r="B160" s="19">
        <v>10.0</v>
      </c>
      <c r="C160" s="19" t="s">
        <v>750</v>
      </c>
      <c r="D160" s="19" t="s">
        <v>751</v>
      </c>
      <c r="E160" s="19" t="s">
        <v>752</v>
      </c>
      <c r="F160" s="19" t="s">
        <v>30</v>
      </c>
      <c r="G160" s="19" t="s">
        <v>753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9" t="s">
        <v>119</v>
      </c>
      <c r="B161" s="19">
        <v>11.0</v>
      </c>
      <c r="C161" s="19" t="s">
        <v>754</v>
      </c>
      <c r="D161" s="19" t="s">
        <v>755</v>
      </c>
      <c r="E161" s="19" t="s">
        <v>756</v>
      </c>
      <c r="F161" s="19" t="s">
        <v>22</v>
      </c>
      <c r="G161" s="19" t="s">
        <v>757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9" t="s">
        <v>119</v>
      </c>
      <c r="B162" s="19">
        <v>12.0</v>
      </c>
      <c r="C162" s="19" t="s">
        <v>758</v>
      </c>
      <c r="D162" s="19" t="s">
        <v>759</v>
      </c>
      <c r="E162" s="19" t="s">
        <v>760</v>
      </c>
      <c r="F162" s="19" t="s">
        <v>30</v>
      </c>
      <c r="G162" s="19" t="s">
        <v>761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9" t="s">
        <v>119</v>
      </c>
      <c r="B163" s="19">
        <v>13.0</v>
      </c>
      <c r="C163" s="19" t="s">
        <v>762</v>
      </c>
      <c r="D163" s="19" t="s">
        <v>763</v>
      </c>
      <c r="E163" s="19" t="s">
        <v>764</v>
      </c>
      <c r="F163" s="19" t="s">
        <v>30</v>
      </c>
      <c r="G163" s="19" t="s">
        <v>765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9" t="s">
        <v>119</v>
      </c>
      <c r="B164" s="19">
        <v>14.0</v>
      </c>
      <c r="C164" s="19" t="s">
        <v>766</v>
      </c>
      <c r="D164" s="19" t="s">
        <v>767</v>
      </c>
      <c r="E164" s="19" t="s">
        <v>768</v>
      </c>
      <c r="F164" s="19" t="s">
        <v>22</v>
      </c>
      <c r="G164" s="19" t="s">
        <v>769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9" t="s">
        <v>119</v>
      </c>
      <c r="B165" s="19">
        <v>15.0</v>
      </c>
      <c r="C165" s="19" t="s">
        <v>770</v>
      </c>
      <c r="D165" s="19" t="s">
        <v>771</v>
      </c>
      <c r="E165" s="19" t="s">
        <v>772</v>
      </c>
      <c r="F165" s="19" t="s">
        <v>30</v>
      </c>
      <c r="G165" s="19" t="s">
        <v>773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9" t="s">
        <v>119</v>
      </c>
      <c r="B166" s="19">
        <v>16.0</v>
      </c>
      <c r="C166" s="19" t="s">
        <v>774</v>
      </c>
      <c r="D166" s="19" t="s">
        <v>775</v>
      </c>
      <c r="E166" s="19" t="s">
        <v>776</v>
      </c>
      <c r="F166" s="19" t="s">
        <v>22</v>
      </c>
      <c r="G166" s="19" t="s">
        <v>777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9" t="s">
        <v>119</v>
      </c>
      <c r="B167" s="19">
        <v>17.0</v>
      </c>
      <c r="C167" s="19" t="s">
        <v>778</v>
      </c>
      <c r="D167" s="19" t="s">
        <v>779</v>
      </c>
      <c r="E167" s="19" t="s">
        <v>780</v>
      </c>
      <c r="F167" s="19" t="s">
        <v>22</v>
      </c>
      <c r="G167" s="19" t="s">
        <v>781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9" t="s">
        <v>119</v>
      </c>
      <c r="B168" s="19">
        <v>18.0</v>
      </c>
      <c r="C168" s="19" t="s">
        <v>782</v>
      </c>
      <c r="D168" s="19" t="s">
        <v>783</v>
      </c>
      <c r="E168" s="19" t="s">
        <v>784</v>
      </c>
      <c r="F168" s="19" t="s">
        <v>30</v>
      </c>
      <c r="G168" s="19" t="s">
        <v>785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9" t="s">
        <v>119</v>
      </c>
      <c r="B169" s="19">
        <v>19.0</v>
      </c>
      <c r="C169" s="19" t="s">
        <v>786</v>
      </c>
      <c r="D169" s="19" t="s">
        <v>787</v>
      </c>
      <c r="E169" s="19" t="s">
        <v>788</v>
      </c>
      <c r="F169" s="19" t="s">
        <v>30</v>
      </c>
      <c r="G169" s="19" t="s">
        <v>789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9" t="s">
        <v>119</v>
      </c>
      <c r="B170" s="19">
        <v>20.0</v>
      </c>
      <c r="C170" s="19" t="s">
        <v>790</v>
      </c>
      <c r="D170" s="19" t="s">
        <v>791</v>
      </c>
      <c r="E170" s="19" t="s">
        <v>792</v>
      </c>
      <c r="F170" s="19" t="s">
        <v>30</v>
      </c>
      <c r="G170" s="19" t="s">
        <v>793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9" t="s">
        <v>119</v>
      </c>
      <c r="B171" s="19">
        <v>21.0</v>
      </c>
      <c r="C171" s="19" t="s">
        <v>794</v>
      </c>
      <c r="D171" s="19" t="s">
        <v>795</v>
      </c>
      <c r="E171" s="19" t="s">
        <v>796</v>
      </c>
      <c r="F171" s="19" t="s">
        <v>30</v>
      </c>
      <c r="G171" s="19" t="s">
        <v>797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9" t="s">
        <v>119</v>
      </c>
      <c r="B172" s="19">
        <v>22.0</v>
      </c>
      <c r="C172" s="19" t="s">
        <v>798</v>
      </c>
      <c r="D172" s="19" t="s">
        <v>799</v>
      </c>
      <c r="E172" s="19" t="s">
        <v>800</v>
      </c>
      <c r="F172" s="19" t="s">
        <v>22</v>
      </c>
      <c r="G172" s="19" t="s">
        <v>801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9" t="s">
        <v>119</v>
      </c>
      <c r="B173" s="19">
        <v>23.0</v>
      </c>
      <c r="C173" s="19" t="s">
        <v>802</v>
      </c>
      <c r="D173" s="19" t="s">
        <v>803</v>
      </c>
      <c r="E173" s="19" t="s">
        <v>804</v>
      </c>
      <c r="F173" s="19" t="s">
        <v>30</v>
      </c>
      <c r="G173" s="19" t="s">
        <v>805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9" t="s">
        <v>119</v>
      </c>
      <c r="B174" s="19">
        <v>24.0</v>
      </c>
      <c r="C174" s="19" t="s">
        <v>806</v>
      </c>
      <c r="D174" s="19" t="s">
        <v>807</v>
      </c>
      <c r="E174" s="19" t="s">
        <v>808</v>
      </c>
      <c r="F174" s="19" t="s">
        <v>30</v>
      </c>
      <c r="G174" s="19" t="s">
        <v>809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9" t="s">
        <v>119</v>
      </c>
      <c r="B175" s="19">
        <v>25.0</v>
      </c>
      <c r="C175" s="19" t="s">
        <v>810</v>
      </c>
      <c r="D175" s="19" t="s">
        <v>811</v>
      </c>
      <c r="E175" s="19" t="s">
        <v>812</v>
      </c>
      <c r="F175" s="19" t="s">
        <v>22</v>
      </c>
      <c r="G175" s="19" t="s">
        <v>813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9" t="s">
        <v>119</v>
      </c>
      <c r="B176" s="19">
        <v>26.0</v>
      </c>
      <c r="C176" s="19" t="s">
        <v>814</v>
      </c>
      <c r="D176" s="19" t="s">
        <v>815</v>
      </c>
      <c r="E176" s="19" t="s">
        <v>816</v>
      </c>
      <c r="F176" s="19" t="s">
        <v>22</v>
      </c>
      <c r="G176" s="19" t="s">
        <v>817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9" t="s">
        <v>119</v>
      </c>
      <c r="B177" s="19">
        <v>27.0</v>
      </c>
      <c r="C177" s="19" t="s">
        <v>819</v>
      </c>
      <c r="D177" s="19" t="s">
        <v>820</v>
      </c>
      <c r="E177" s="19" t="s">
        <v>821</v>
      </c>
      <c r="F177" s="19" t="s">
        <v>22</v>
      </c>
      <c r="G177" s="19" t="s">
        <v>822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9" t="s">
        <v>119</v>
      </c>
      <c r="B178" s="19">
        <v>28.0</v>
      </c>
      <c r="C178" s="19" t="s">
        <v>824</v>
      </c>
      <c r="D178" s="19" t="s">
        <v>825</v>
      </c>
      <c r="E178" s="19" t="s">
        <v>826</v>
      </c>
      <c r="F178" s="19" t="s">
        <v>30</v>
      </c>
      <c r="G178" s="19" t="s">
        <v>827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9" t="s">
        <v>119</v>
      </c>
      <c r="B179" s="19">
        <v>29.0</v>
      </c>
      <c r="C179" s="19" t="s">
        <v>829</v>
      </c>
      <c r="D179" s="19" t="s">
        <v>830</v>
      </c>
      <c r="E179" s="19" t="s">
        <v>831</v>
      </c>
      <c r="F179" s="19" t="s">
        <v>22</v>
      </c>
      <c r="G179" s="19" t="s">
        <v>832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9" t="s">
        <v>137</v>
      </c>
      <c r="B180" s="19">
        <v>1.0</v>
      </c>
      <c r="C180" s="19" t="s">
        <v>833</v>
      </c>
      <c r="D180" s="19" t="s">
        <v>834</v>
      </c>
      <c r="E180" s="19" t="s">
        <v>835</v>
      </c>
      <c r="F180" s="19" t="s">
        <v>30</v>
      </c>
      <c r="G180" s="19" t="s">
        <v>836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9" t="s">
        <v>137</v>
      </c>
      <c r="B181" s="19">
        <v>2.0</v>
      </c>
      <c r="C181" s="19" t="s">
        <v>837</v>
      </c>
      <c r="D181" s="19" t="s">
        <v>838</v>
      </c>
      <c r="E181" s="19" t="s">
        <v>839</v>
      </c>
      <c r="F181" s="19" t="s">
        <v>22</v>
      </c>
      <c r="G181" s="19" t="s">
        <v>840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9" t="s">
        <v>137</v>
      </c>
      <c r="B182" s="19">
        <v>3.0</v>
      </c>
      <c r="C182" s="19" t="s">
        <v>841</v>
      </c>
      <c r="D182" s="19" t="s">
        <v>842</v>
      </c>
      <c r="E182" s="19" t="s">
        <v>843</v>
      </c>
      <c r="F182" s="19" t="s">
        <v>30</v>
      </c>
      <c r="G182" s="19" t="s">
        <v>844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9" t="s">
        <v>137</v>
      </c>
      <c r="B183" s="19">
        <v>4.0</v>
      </c>
      <c r="C183" s="19" t="s">
        <v>845</v>
      </c>
      <c r="D183" s="19" t="s">
        <v>846</v>
      </c>
      <c r="E183" s="19" t="s">
        <v>847</v>
      </c>
      <c r="F183" s="19" t="s">
        <v>22</v>
      </c>
      <c r="G183" s="19" t="s">
        <v>848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9" t="s">
        <v>137</v>
      </c>
      <c r="B184" s="19">
        <v>5.0</v>
      </c>
      <c r="C184" s="19" t="s">
        <v>849</v>
      </c>
      <c r="D184" s="19" t="s">
        <v>850</v>
      </c>
      <c r="E184" s="19" t="s">
        <v>851</v>
      </c>
      <c r="F184" s="19" t="s">
        <v>22</v>
      </c>
      <c r="G184" s="19" t="s">
        <v>852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9" t="s">
        <v>137</v>
      </c>
      <c r="B185" s="19">
        <v>6.0</v>
      </c>
      <c r="C185" s="19" t="s">
        <v>853</v>
      </c>
      <c r="D185" s="19" t="s">
        <v>854</v>
      </c>
      <c r="E185" s="19" t="s">
        <v>855</v>
      </c>
      <c r="F185" s="19" t="s">
        <v>30</v>
      </c>
      <c r="G185" s="19" t="s">
        <v>856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9" t="s">
        <v>137</v>
      </c>
      <c r="B186" s="19">
        <v>7.0</v>
      </c>
      <c r="C186" s="19" t="s">
        <v>857</v>
      </c>
      <c r="D186" s="19" t="s">
        <v>858</v>
      </c>
      <c r="E186" s="19" t="s">
        <v>859</v>
      </c>
      <c r="F186" s="19" t="s">
        <v>30</v>
      </c>
      <c r="G186" s="19" t="s">
        <v>860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9" t="s">
        <v>137</v>
      </c>
      <c r="B187" s="19">
        <v>8.0</v>
      </c>
      <c r="C187" s="19" t="s">
        <v>861</v>
      </c>
      <c r="D187" s="19" t="s">
        <v>862</v>
      </c>
      <c r="E187" s="19" t="s">
        <v>863</v>
      </c>
      <c r="F187" s="19" t="s">
        <v>22</v>
      </c>
      <c r="G187" s="19" t="s">
        <v>864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9" t="s">
        <v>137</v>
      </c>
      <c r="B188" s="19">
        <v>9.0</v>
      </c>
      <c r="C188" s="19" t="s">
        <v>865</v>
      </c>
      <c r="D188" s="19" t="s">
        <v>866</v>
      </c>
      <c r="E188" s="19" t="s">
        <v>867</v>
      </c>
      <c r="F188" s="19" t="s">
        <v>22</v>
      </c>
      <c r="G188" s="19" t="s">
        <v>868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9" t="s">
        <v>137</v>
      </c>
      <c r="B189" s="19">
        <v>10.0</v>
      </c>
      <c r="C189" s="19" t="s">
        <v>869</v>
      </c>
      <c r="D189" s="19" t="s">
        <v>870</v>
      </c>
      <c r="E189" s="19" t="s">
        <v>871</v>
      </c>
      <c r="F189" s="19" t="s">
        <v>22</v>
      </c>
      <c r="G189" s="19" t="s">
        <v>872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9" t="s">
        <v>137</v>
      </c>
      <c r="B190" s="19">
        <v>11.0</v>
      </c>
      <c r="C190" s="19" t="s">
        <v>873</v>
      </c>
      <c r="D190" s="19" t="s">
        <v>874</v>
      </c>
      <c r="E190" s="19" t="s">
        <v>875</v>
      </c>
      <c r="F190" s="19" t="s">
        <v>22</v>
      </c>
      <c r="G190" s="19" t="s">
        <v>876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9" t="s">
        <v>137</v>
      </c>
      <c r="B191" s="19">
        <v>12.0</v>
      </c>
      <c r="C191" s="19" t="s">
        <v>878</v>
      </c>
      <c r="D191" s="19" t="s">
        <v>879</v>
      </c>
      <c r="E191" s="19" t="s">
        <v>880</v>
      </c>
      <c r="F191" s="19" t="s">
        <v>30</v>
      </c>
      <c r="G191" s="19" t="s">
        <v>881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9" t="s">
        <v>137</v>
      </c>
      <c r="B192" s="19">
        <v>13.0</v>
      </c>
      <c r="C192" s="19" t="s">
        <v>882</v>
      </c>
      <c r="D192" s="19" t="s">
        <v>883</v>
      </c>
      <c r="E192" s="19" t="s">
        <v>884</v>
      </c>
      <c r="F192" s="19" t="s">
        <v>22</v>
      </c>
      <c r="G192" s="19" t="s">
        <v>885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9" t="s">
        <v>137</v>
      </c>
      <c r="B193" s="19">
        <v>14.0</v>
      </c>
      <c r="C193" s="19" t="s">
        <v>886</v>
      </c>
      <c r="D193" s="19" t="s">
        <v>887</v>
      </c>
      <c r="E193" s="19" t="s">
        <v>888</v>
      </c>
      <c r="F193" s="19" t="s">
        <v>30</v>
      </c>
      <c r="G193" s="19" t="s">
        <v>889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9" t="s">
        <v>137</v>
      </c>
      <c r="B194" s="19">
        <v>15.0</v>
      </c>
      <c r="C194" s="19" t="s">
        <v>890</v>
      </c>
      <c r="D194" s="19" t="s">
        <v>891</v>
      </c>
      <c r="E194" s="19" t="s">
        <v>892</v>
      </c>
      <c r="F194" s="19" t="s">
        <v>22</v>
      </c>
      <c r="G194" s="19" t="s">
        <v>893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9" t="s">
        <v>137</v>
      </c>
      <c r="B195" s="19">
        <v>16.0</v>
      </c>
      <c r="C195" s="19" t="s">
        <v>894</v>
      </c>
      <c r="D195" s="19" t="s">
        <v>895</v>
      </c>
      <c r="E195" s="19" t="s">
        <v>896</v>
      </c>
      <c r="F195" s="19" t="s">
        <v>22</v>
      </c>
      <c r="G195" s="19" t="s">
        <v>897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9" t="s">
        <v>137</v>
      </c>
      <c r="B196" s="19">
        <v>17.0</v>
      </c>
      <c r="C196" s="19" t="s">
        <v>898</v>
      </c>
      <c r="D196" s="19" t="s">
        <v>899</v>
      </c>
      <c r="E196" s="19" t="s">
        <v>900</v>
      </c>
      <c r="F196" s="19" t="s">
        <v>30</v>
      </c>
      <c r="G196" s="19" t="s">
        <v>901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9" t="s">
        <v>137</v>
      </c>
      <c r="B197" s="19">
        <v>18.0</v>
      </c>
      <c r="C197" s="19" t="s">
        <v>902</v>
      </c>
      <c r="D197" s="19" t="s">
        <v>903</v>
      </c>
      <c r="E197" s="19" t="s">
        <v>904</v>
      </c>
      <c r="F197" s="19" t="s">
        <v>22</v>
      </c>
      <c r="G197" s="19" t="s">
        <v>905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9" t="s">
        <v>137</v>
      </c>
      <c r="B198" s="19">
        <v>19.0</v>
      </c>
      <c r="C198" s="19" t="s">
        <v>906</v>
      </c>
      <c r="D198" s="19" t="s">
        <v>907</v>
      </c>
      <c r="E198" s="19" t="s">
        <v>908</v>
      </c>
      <c r="F198" s="19" t="s">
        <v>30</v>
      </c>
      <c r="G198" s="19" t="s">
        <v>909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9" t="s">
        <v>137</v>
      </c>
      <c r="B199" s="19">
        <v>20.0</v>
      </c>
      <c r="C199" s="19" t="s">
        <v>910</v>
      </c>
      <c r="D199" s="19" t="s">
        <v>911</v>
      </c>
      <c r="E199" s="19" t="s">
        <v>912</v>
      </c>
      <c r="F199" s="19" t="s">
        <v>22</v>
      </c>
      <c r="G199" s="19" t="s">
        <v>913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9" t="s">
        <v>137</v>
      </c>
      <c r="B200" s="19">
        <v>21.0</v>
      </c>
      <c r="C200" s="19" t="s">
        <v>914</v>
      </c>
      <c r="D200" s="19" t="s">
        <v>915</v>
      </c>
      <c r="E200" s="19" t="s">
        <v>916</v>
      </c>
      <c r="F200" s="19" t="s">
        <v>22</v>
      </c>
      <c r="G200" s="19" t="s">
        <v>917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9" t="s">
        <v>137</v>
      </c>
      <c r="B201" s="19">
        <v>22.0</v>
      </c>
      <c r="C201" s="19" t="s">
        <v>918</v>
      </c>
      <c r="D201" s="19" t="s">
        <v>919</v>
      </c>
      <c r="E201" s="19" t="s">
        <v>920</v>
      </c>
      <c r="F201" s="19" t="s">
        <v>30</v>
      </c>
      <c r="G201" s="19" t="s">
        <v>921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9" t="s">
        <v>137</v>
      </c>
      <c r="B202" s="19">
        <v>23.0</v>
      </c>
      <c r="C202" s="19" t="s">
        <v>923</v>
      </c>
      <c r="D202" s="19" t="s">
        <v>924</v>
      </c>
      <c r="E202" s="19" t="s">
        <v>925</v>
      </c>
      <c r="F202" s="19" t="s">
        <v>30</v>
      </c>
      <c r="G202" s="19" t="s">
        <v>926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9" t="s">
        <v>137</v>
      </c>
      <c r="B203" s="19">
        <v>24.0</v>
      </c>
      <c r="C203" s="19" t="s">
        <v>928</v>
      </c>
      <c r="D203" s="19" t="s">
        <v>929</v>
      </c>
      <c r="E203" s="19" t="s">
        <v>930</v>
      </c>
      <c r="F203" s="19" t="s">
        <v>22</v>
      </c>
      <c r="G203" s="19" t="s">
        <v>931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9" t="s">
        <v>137</v>
      </c>
      <c r="B204" s="19">
        <v>25.0</v>
      </c>
      <c r="C204" s="19" t="s">
        <v>933</v>
      </c>
      <c r="D204" s="19" t="s">
        <v>934</v>
      </c>
      <c r="E204" s="19" t="s">
        <v>935</v>
      </c>
      <c r="F204" s="19" t="s">
        <v>30</v>
      </c>
      <c r="G204" s="19" t="s">
        <v>936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9" t="s">
        <v>137</v>
      </c>
      <c r="B205" s="19">
        <v>26.0</v>
      </c>
      <c r="C205" s="19" t="s">
        <v>937</v>
      </c>
      <c r="D205" s="19" t="s">
        <v>938</v>
      </c>
      <c r="E205" s="19" t="s">
        <v>939</v>
      </c>
      <c r="F205" s="19" t="s">
        <v>30</v>
      </c>
      <c r="G205" s="19" t="s">
        <v>940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9" t="s">
        <v>137</v>
      </c>
      <c r="B206" s="19">
        <v>27.0</v>
      </c>
      <c r="C206" s="19" t="s">
        <v>941</v>
      </c>
      <c r="D206" s="19" t="s">
        <v>942</v>
      </c>
      <c r="E206" s="19" t="s">
        <v>943</v>
      </c>
      <c r="F206" s="19" t="s">
        <v>30</v>
      </c>
      <c r="G206" s="19" t="s">
        <v>944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9" t="s">
        <v>137</v>
      </c>
      <c r="B207" s="19">
        <v>28.0</v>
      </c>
      <c r="C207" s="19" t="s">
        <v>945</v>
      </c>
      <c r="D207" s="19" t="s">
        <v>946</v>
      </c>
      <c r="E207" s="19" t="s">
        <v>947</v>
      </c>
      <c r="F207" s="19" t="s">
        <v>30</v>
      </c>
      <c r="G207" s="19" t="s">
        <v>948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9" t="s">
        <v>137</v>
      </c>
      <c r="B208" s="19">
        <v>29.0</v>
      </c>
      <c r="C208" s="19" t="s">
        <v>949</v>
      </c>
      <c r="D208" s="19" t="s">
        <v>950</v>
      </c>
      <c r="E208" s="19" t="s">
        <v>951</v>
      </c>
      <c r="F208" s="19" t="s">
        <v>30</v>
      </c>
      <c r="G208" s="19" t="s">
        <v>952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9" t="s">
        <v>137</v>
      </c>
      <c r="B209" s="19">
        <v>30.0</v>
      </c>
      <c r="C209" s="19" t="s">
        <v>953</v>
      </c>
      <c r="D209" s="19" t="s">
        <v>954</v>
      </c>
      <c r="E209" s="19" t="s">
        <v>955</v>
      </c>
      <c r="F209" s="19" t="s">
        <v>30</v>
      </c>
      <c r="G209" s="19" t="s">
        <v>956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9" t="s">
        <v>137</v>
      </c>
      <c r="B210" s="19">
        <v>31.0</v>
      </c>
      <c r="C210" s="19" t="s">
        <v>957</v>
      </c>
      <c r="D210" s="19" t="s">
        <v>958</v>
      </c>
      <c r="E210" s="19" t="s">
        <v>959</v>
      </c>
      <c r="F210" s="19" t="s">
        <v>22</v>
      </c>
      <c r="G210" s="19" t="s">
        <v>960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9" t="s">
        <v>137</v>
      </c>
      <c r="B211" s="19">
        <v>32.0</v>
      </c>
      <c r="C211" s="19" t="s">
        <v>961</v>
      </c>
      <c r="D211" s="19" t="s">
        <v>962</v>
      </c>
      <c r="E211" s="19" t="s">
        <v>963</v>
      </c>
      <c r="F211" s="19" t="s">
        <v>30</v>
      </c>
      <c r="G211" s="19" t="s">
        <v>964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9" t="s">
        <v>137</v>
      </c>
      <c r="B212" s="19">
        <v>33.0</v>
      </c>
      <c r="C212" s="19" t="s">
        <v>965</v>
      </c>
      <c r="D212" s="19" t="s">
        <v>966</v>
      </c>
      <c r="E212" s="19" t="s">
        <v>967</v>
      </c>
      <c r="F212" s="19" t="s">
        <v>30</v>
      </c>
      <c r="G212" s="19" t="s">
        <v>968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9" t="s">
        <v>157</v>
      </c>
      <c r="B213" s="19">
        <v>1.0</v>
      </c>
      <c r="C213" s="19" t="s">
        <v>969</v>
      </c>
      <c r="D213" s="19" t="s">
        <v>970</v>
      </c>
      <c r="E213" s="19" t="s">
        <v>971</v>
      </c>
      <c r="F213" s="19" t="s">
        <v>30</v>
      </c>
      <c r="G213" s="19" t="s">
        <v>972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9" t="s">
        <v>157</v>
      </c>
      <c r="B214" s="19">
        <v>2.0</v>
      </c>
      <c r="C214" s="19" t="s">
        <v>973</v>
      </c>
      <c r="D214" s="19" t="s">
        <v>974</v>
      </c>
      <c r="E214" s="19" t="s">
        <v>975</v>
      </c>
      <c r="F214" s="19" t="s">
        <v>30</v>
      </c>
      <c r="G214" s="19" t="s">
        <v>976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9" t="s">
        <v>157</v>
      </c>
      <c r="B215" s="19">
        <v>3.0</v>
      </c>
      <c r="C215" s="19" t="s">
        <v>977</v>
      </c>
      <c r="D215" s="19" t="s">
        <v>978</v>
      </c>
      <c r="E215" s="19" t="s">
        <v>979</v>
      </c>
      <c r="F215" s="19" t="s">
        <v>30</v>
      </c>
      <c r="G215" s="19" t="s">
        <v>980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9" t="s">
        <v>157</v>
      </c>
      <c r="B216" s="19">
        <v>4.0</v>
      </c>
      <c r="C216" s="19" t="s">
        <v>981</v>
      </c>
      <c r="D216" s="19" t="s">
        <v>982</v>
      </c>
      <c r="E216" s="19" t="s">
        <v>983</v>
      </c>
      <c r="F216" s="19" t="s">
        <v>22</v>
      </c>
      <c r="G216" s="19" t="s">
        <v>984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9" t="s">
        <v>157</v>
      </c>
      <c r="B217" s="19">
        <v>5.0</v>
      </c>
      <c r="C217" s="19" t="s">
        <v>985</v>
      </c>
      <c r="D217" s="19" t="s">
        <v>986</v>
      </c>
      <c r="E217" s="19" t="s">
        <v>987</v>
      </c>
      <c r="F217" s="19" t="s">
        <v>30</v>
      </c>
      <c r="G217" s="19" t="s">
        <v>988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9" t="s">
        <v>157</v>
      </c>
      <c r="B218" s="19">
        <v>6.0</v>
      </c>
      <c r="C218" s="19" t="s">
        <v>989</v>
      </c>
      <c r="D218" s="19" t="s">
        <v>990</v>
      </c>
      <c r="E218" s="19" t="s">
        <v>991</v>
      </c>
      <c r="F218" s="19" t="s">
        <v>30</v>
      </c>
      <c r="G218" s="19" t="s">
        <v>992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9" t="s">
        <v>157</v>
      </c>
      <c r="B219" s="19">
        <v>7.0</v>
      </c>
      <c r="C219" s="19" t="s">
        <v>993</v>
      </c>
      <c r="D219" s="19" t="s">
        <v>994</v>
      </c>
      <c r="E219" s="19" t="s">
        <v>995</v>
      </c>
      <c r="F219" s="19" t="s">
        <v>30</v>
      </c>
      <c r="G219" s="19" t="s">
        <v>996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9" t="s">
        <v>157</v>
      </c>
      <c r="B220" s="19">
        <v>8.0</v>
      </c>
      <c r="C220" s="19" t="s">
        <v>997</v>
      </c>
      <c r="D220" s="19" t="s">
        <v>998</v>
      </c>
      <c r="E220" s="19" t="s">
        <v>999</v>
      </c>
      <c r="F220" s="19" t="s">
        <v>22</v>
      </c>
      <c r="G220" s="19" t="s">
        <v>1000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9" t="s">
        <v>157</v>
      </c>
      <c r="B221" s="19">
        <v>9.0</v>
      </c>
      <c r="C221" s="19" t="s">
        <v>1001</v>
      </c>
      <c r="D221" s="19" t="s">
        <v>1002</v>
      </c>
      <c r="E221" s="19" t="s">
        <v>1003</v>
      </c>
      <c r="F221" s="19" t="s">
        <v>22</v>
      </c>
      <c r="G221" s="19" t="s">
        <v>1004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9" t="s">
        <v>157</v>
      </c>
      <c r="B222" s="19">
        <v>10.0</v>
      </c>
      <c r="C222" s="19" t="s">
        <v>1005</v>
      </c>
      <c r="D222" s="19" t="s">
        <v>1006</v>
      </c>
      <c r="E222" s="19" t="s">
        <v>1007</v>
      </c>
      <c r="F222" s="19" t="s">
        <v>30</v>
      </c>
      <c r="G222" s="19" t="s">
        <v>1008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9" t="s">
        <v>157</v>
      </c>
      <c r="B223" s="19">
        <v>11.0</v>
      </c>
      <c r="C223" s="19" t="s">
        <v>1009</v>
      </c>
      <c r="D223" s="19" t="s">
        <v>1010</v>
      </c>
      <c r="E223" s="19" t="s">
        <v>1011</v>
      </c>
      <c r="F223" s="19" t="s">
        <v>30</v>
      </c>
      <c r="G223" s="19" t="s">
        <v>1012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9" t="s">
        <v>157</v>
      </c>
      <c r="B224" s="19">
        <v>12.0</v>
      </c>
      <c r="C224" s="19" t="s">
        <v>1013</v>
      </c>
      <c r="D224" s="19" t="s">
        <v>1014</v>
      </c>
      <c r="E224" s="19" t="s">
        <v>1015</v>
      </c>
      <c r="F224" s="19" t="s">
        <v>22</v>
      </c>
      <c r="G224" s="19" t="s">
        <v>1016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9" t="s">
        <v>157</v>
      </c>
      <c r="B225" s="19">
        <v>13.0</v>
      </c>
      <c r="C225" s="19" t="s">
        <v>1017</v>
      </c>
      <c r="D225" s="19" t="s">
        <v>1018</v>
      </c>
      <c r="E225" s="19" t="s">
        <v>1019</v>
      </c>
      <c r="F225" s="19" t="s">
        <v>22</v>
      </c>
      <c r="G225" s="19" t="s">
        <v>1020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9" t="s">
        <v>157</v>
      </c>
      <c r="B226" s="19">
        <v>14.0</v>
      </c>
      <c r="C226" s="19" t="s">
        <v>1021</v>
      </c>
      <c r="D226" s="19" t="s">
        <v>1022</v>
      </c>
      <c r="E226" s="19" t="s">
        <v>1023</v>
      </c>
      <c r="F226" s="19" t="s">
        <v>22</v>
      </c>
      <c r="G226" s="19" t="s">
        <v>1024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9" t="s">
        <v>157</v>
      </c>
      <c r="B227" s="19">
        <v>15.0</v>
      </c>
      <c r="C227" s="19" t="s">
        <v>1026</v>
      </c>
      <c r="D227" s="19" t="s">
        <v>1027</v>
      </c>
      <c r="E227" s="19" t="s">
        <v>1028</v>
      </c>
      <c r="F227" s="19" t="s">
        <v>22</v>
      </c>
      <c r="G227" s="19" t="s">
        <v>1029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9" t="s">
        <v>157</v>
      </c>
      <c r="B228" s="19">
        <v>16.0</v>
      </c>
      <c r="C228" s="19" t="s">
        <v>1030</v>
      </c>
      <c r="D228" s="19" t="s">
        <v>1031</v>
      </c>
      <c r="E228" s="19" t="s">
        <v>1032</v>
      </c>
      <c r="F228" s="19" t="s">
        <v>30</v>
      </c>
      <c r="G228" s="19" t="s">
        <v>1034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9" t="s">
        <v>157</v>
      </c>
      <c r="B229" s="19">
        <v>17.0</v>
      </c>
      <c r="C229" s="19" t="s">
        <v>1035</v>
      </c>
      <c r="D229" s="19" t="s">
        <v>1036</v>
      </c>
      <c r="E229" s="19" t="s">
        <v>1037</v>
      </c>
      <c r="F229" s="19" t="s">
        <v>30</v>
      </c>
      <c r="G229" s="19" t="s">
        <v>1039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9" t="s">
        <v>157</v>
      </c>
      <c r="B230" s="19">
        <v>18.0</v>
      </c>
      <c r="C230" s="19" t="s">
        <v>1040</v>
      </c>
      <c r="D230" s="19" t="s">
        <v>1041</v>
      </c>
      <c r="E230" s="19" t="s">
        <v>1042</v>
      </c>
      <c r="F230" s="19" t="s">
        <v>22</v>
      </c>
      <c r="G230" s="19" t="s">
        <v>1043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9" t="s">
        <v>157</v>
      </c>
      <c r="B231" s="19">
        <v>19.0</v>
      </c>
      <c r="C231" s="19" t="s">
        <v>1044</v>
      </c>
      <c r="D231" s="19" t="s">
        <v>1045</v>
      </c>
      <c r="E231" s="19" t="s">
        <v>1046</v>
      </c>
      <c r="F231" s="19" t="s">
        <v>22</v>
      </c>
      <c r="G231" s="19" t="s">
        <v>1047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9" t="s">
        <v>157</v>
      </c>
      <c r="B232" s="19">
        <v>20.0</v>
      </c>
      <c r="C232" s="19" t="s">
        <v>1048</v>
      </c>
      <c r="D232" s="19" t="s">
        <v>1049</v>
      </c>
      <c r="E232" s="19" t="s">
        <v>1050</v>
      </c>
      <c r="F232" s="19" t="s">
        <v>22</v>
      </c>
      <c r="G232" s="19" t="s">
        <v>1051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9" t="s">
        <v>157</v>
      </c>
      <c r="B233" s="19">
        <v>21.0</v>
      </c>
      <c r="C233" s="19" t="s">
        <v>1052</v>
      </c>
      <c r="D233" s="19" t="s">
        <v>1053</v>
      </c>
      <c r="E233" s="19" t="s">
        <v>1054</v>
      </c>
      <c r="F233" s="19" t="s">
        <v>30</v>
      </c>
      <c r="G233" s="19" t="s">
        <v>1055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9" t="s">
        <v>157</v>
      </c>
      <c r="B234" s="19">
        <v>22.0</v>
      </c>
      <c r="C234" s="19" t="s">
        <v>1056</v>
      </c>
      <c r="D234" s="19" t="s">
        <v>1057</v>
      </c>
      <c r="E234" s="19" t="s">
        <v>1058</v>
      </c>
      <c r="F234" s="19" t="s">
        <v>22</v>
      </c>
      <c r="G234" s="19" t="s">
        <v>1059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9" t="s">
        <v>157</v>
      </c>
      <c r="B235" s="19">
        <v>23.0</v>
      </c>
      <c r="C235" s="19" t="s">
        <v>1061</v>
      </c>
      <c r="D235" s="19" t="s">
        <v>1062</v>
      </c>
      <c r="E235" s="19" t="s">
        <v>526</v>
      </c>
      <c r="F235" s="19" t="s">
        <v>30</v>
      </c>
      <c r="G235" s="19" t="s">
        <v>1063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9" t="s">
        <v>157</v>
      </c>
      <c r="B236" s="19">
        <v>24.0</v>
      </c>
      <c r="C236" s="19" t="s">
        <v>1064</v>
      </c>
      <c r="D236" s="19" t="s">
        <v>1065</v>
      </c>
      <c r="E236" s="19" t="s">
        <v>1066</v>
      </c>
      <c r="F236" s="19" t="s">
        <v>30</v>
      </c>
      <c r="G236" s="19" t="s">
        <v>1067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9" t="s">
        <v>157</v>
      </c>
      <c r="B237" s="19">
        <v>25.0</v>
      </c>
      <c r="C237" s="19" t="s">
        <v>1068</v>
      </c>
      <c r="D237" s="19" t="s">
        <v>1069</v>
      </c>
      <c r="E237" s="19" t="s">
        <v>1070</v>
      </c>
      <c r="F237" s="19" t="s">
        <v>30</v>
      </c>
      <c r="G237" s="19" t="s">
        <v>1071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9" t="s">
        <v>157</v>
      </c>
      <c r="B238" s="19">
        <v>26.0</v>
      </c>
      <c r="C238" s="19" t="s">
        <v>1072</v>
      </c>
      <c r="D238" s="19" t="s">
        <v>1073</v>
      </c>
      <c r="E238" s="19" t="s">
        <v>1074</v>
      </c>
      <c r="F238" s="19" t="s">
        <v>22</v>
      </c>
      <c r="G238" s="19" t="s">
        <v>1075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9" t="s">
        <v>157</v>
      </c>
      <c r="B239" s="19">
        <v>27.0</v>
      </c>
      <c r="C239" s="19" t="s">
        <v>1076</v>
      </c>
      <c r="D239" s="19" t="s">
        <v>1077</v>
      </c>
      <c r="E239" s="19" t="s">
        <v>1078</v>
      </c>
      <c r="F239" s="19" t="s">
        <v>30</v>
      </c>
      <c r="G239" s="19" t="s">
        <v>1079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9" t="s">
        <v>157</v>
      </c>
      <c r="B240" s="19">
        <v>28.0</v>
      </c>
      <c r="C240" s="19" t="s">
        <v>1080</v>
      </c>
      <c r="D240" s="19" t="s">
        <v>1081</v>
      </c>
      <c r="E240" s="19" t="s">
        <v>1082</v>
      </c>
      <c r="F240" s="19" t="s">
        <v>30</v>
      </c>
      <c r="G240" s="19" t="s">
        <v>1083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9" t="s">
        <v>157</v>
      </c>
      <c r="B241" s="19">
        <v>29.0</v>
      </c>
      <c r="C241" s="19" t="s">
        <v>1084</v>
      </c>
      <c r="D241" s="19" t="s">
        <v>1085</v>
      </c>
      <c r="E241" s="19" t="s">
        <v>1086</v>
      </c>
      <c r="F241" s="19" t="s">
        <v>22</v>
      </c>
      <c r="G241" s="19" t="s">
        <v>1087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9" t="s">
        <v>157</v>
      </c>
      <c r="B242" s="19">
        <v>30.0</v>
      </c>
      <c r="C242" s="19" t="s">
        <v>1088</v>
      </c>
      <c r="D242" s="19" t="s">
        <v>1089</v>
      </c>
      <c r="E242" s="19" t="s">
        <v>1090</v>
      </c>
      <c r="F242" s="19" t="s">
        <v>22</v>
      </c>
      <c r="G242" s="19" t="s">
        <v>1091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9" t="s">
        <v>157</v>
      </c>
      <c r="B243" s="19">
        <v>31.0</v>
      </c>
      <c r="C243" s="19" t="s">
        <v>1092</v>
      </c>
      <c r="D243" s="19" t="s">
        <v>1093</v>
      </c>
      <c r="E243" s="19" t="s">
        <v>1094</v>
      </c>
      <c r="F243" s="19" t="s">
        <v>22</v>
      </c>
      <c r="G243" s="19" t="s">
        <v>1095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9" t="s">
        <v>157</v>
      </c>
      <c r="B244" s="19">
        <v>32.0</v>
      </c>
      <c r="C244" s="19" t="s">
        <v>1096</v>
      </c>
      <c r="D244" s="19" t="s">
        <v>1097</v>
      </c>
      <c r="E244" s="19" t="s">
        <v>1098</v>
      </c>
      <c r="F244" s="19" t="s">
        <v>30</v>
      </c>
      <c r="G244" s="19" t="s">
        <v>1099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9" t="s">
        <v>182</v>
      </c>
      <c r="B245" s="19">
        <v>1.0</v>
      </c>
      <c r="C245" s="19" t="s">
        <v>1100</v>
      </c>
      <c r="D245" s="19" t="s">
        <v>1101</v>
      </c>
      <c r="E245" s="19" t="s">
        <v>1102</v>
      </c>
      <c r="F245" s="19" t="s">
        <v>30</v>
      </c>
      <c r="G245" s="19" t="s">
        <v>1103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9" t="s">
        <v>182</v>
      </c>
      <c r="B246" s="19">
        <v>2.0</v>
      </c>
      <c r="C246" s="19" t="s">
        <v>1104</v>
      </c>
      <c r="D246" s="19" t="s">
        <v>1105</v>
      </c>
      <c r="E246" s="19" t="s">
        <v>1106</v>
      </c>
      <c r="F246" s="19" t="s">
        <v>22</v>
      </c>
      <c r="G246" s="19" t="s">
        <v>1107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9" t="s">
        <v>182</v>
      </c>
      <c r="B247" s="19">
        <v>3.0</v>
      </c>
      <c r="C247" s="19" t="s">
        <v>1108</v>
      </c>
      <c r="D247" s="19" t="s">
        <v>1109</v>
      </c>
      <c r="E247" s="19" t="s">
        <v>1110</v>
      </c>
      <c r="F247" s="19" t="s">
        <v>22</v>
      </c>
      <c r="G247" s="19" t="s">
        <v>1111</v>
      </c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9" t="s">
        <v>182</v>
      </c>
      <c r="B248" s="19">
        <v>4.0</v>
      </c>
      <c r="C248" s="19" t="s">
        <v>1112</v>
      </c>
      <c r="D248" s="19" t="s">
        <v>1113</v>
      </c>
      <c r="E248" s="19" t="s">
        <v>1114</v>
      </c>
      <c r="F248" s="19" t="s">
        <v>30</v>
      </c>
      <c r="G248" s="19" t="s">
        <v>1115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9" t="s">
        <v>182</v>
      </c>
      <c r="B249" s="19">
        <v>5.0</v>
      </c>
      <c r="C249" s="19" t="s">
        <v>1116</v>
      </c>
      <c r="D249" s="19" t="s">
        <v>1117</v>
      </c>
      <c r="E249" s="19" t="s">
        <v>1118</v>
      </c>
      <c r="F249" s="19" t="s">
        <v>30</v>
      </c>
      <c r="G249" s="19" t="s">
        <v>1119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9" t="s">
        <v>182</v>
      </c>
      <c r="B250" s="19">
        <v>6.0</v>
      </c>
      <c r="C250" s="19" t="s">
        <v>1120</v>
      </c>
      <c r="D250" s="19" t="s">
        <v>1121</v>
      </c>
      <c r="E250" s="19" t="s">
        <v>1122</v>
      </c>
      <c r="F250" s="19" t="s">
        <v>30</v>
      </c>
      <c r="G250" s="19" t="s">
        <v>1123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9" t="s">
        <v>182</v>
      </c>
      <c r="B251" s="19">
        <v>7.0</v>
      </c>
      <c r="C251" s="19" t="s">
        <v>1124</v>
      </c>
      <c r="D251" s="19" t="s">
        <v>1125</v>
      </c>
      <c r="E251" s="19" t="s">
        <v>1126</v>
      </c>
      <c r="F251" s="19" t="s">
        <v>22</v>
      </c>
      <c r="G251" s="19" t="s">
        <v>1127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9" t="s">
        <v>182</v>
      </c>
      <c r="B252" s="19">
        <v>8.0</v>
      </c>
      <c r="C252" s="19" t="s">
        <v>1128</v>
      </c>
      <c r="D252" s="19" t="s">
        <v>1129</v>
      </c>
      <c r="E252" s="19" t="s">
        <v>1130</v>
      </c>
      <c r="F252" s="19" t="s">
        <v>30</v>
      </c>
      <c r="G252" s="19" t="s">
        <v>1131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9" t="s">
        <v>182</v>
      </c>
      <c r="B253" s="19">
        <v>9.0</v>
      </c>
      <c r="C253" s="19" t="s">
        <v>1132</v>
      </c>
      <c r="D253" s="19" t="s">
        <v>1133</v>
      </c>
      <c r="E253" s="19" t="s">
        <v>1134</v>
      </c>
      <c r="F253" s="19" t="s">
        <v>30</v>
      </c>
      <c r="G253" s="19" t="s">
        <v>1135</v>
      </c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9" t="s">
        <v>182</v>
      </c>
      <c r="B254" s="19">
        <v>10.0</v>
      </c>
      <c r="C254" s="19" t="s">
        <v>1136</v>
      </c>
      <c r="D254" s="19" t="s">
        <v>1137</v>
      </c>
      <c r="E254" s="19" t="s">
        <v>1138</v>
      </c>
      <c r="F254" s="19" t="s">
        <v>30</v>
      </c>
      <c r="G254" s="19" t="s">
        <v>1139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9" t="s">
        <v>182</v>
      </c>
      <c r="B255" s="19">
        <v>11.0</v>
      </c>
      <c r="C255" s="19" t="s">
        <v>1140</v>
      </c>
      <c r="D255" s="19" t="s">
        <v>1141</v>
      </c>
      <c r="E255" s="19" t="s">
        <v>1142</v>
      </c>
      <c r="F255" s="19" t="s">
        <v>22</v>
      </c>
      <c r="G255" s="19" t="s">
        <v>1143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9" t="s">
        <v>182</v>
      </c>
      <c r="B256" s="19">
        <v>12.0</v>
      </c>
      <c r="C256" s="19" t="s">
        <v>1144</v>
      </c>
      <c r="D256" s="19" t="s">
        <v>1145</v>
      </c>
      <c r="E256" s="19" t="s">
        <v>1146</v>
      </c>
      <c r="F256" s="19" t="s">
        <v>30</v>
      </c>
      <c r="G256" s="19" t="s">
        <v>1147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9" t="s">
        <v>182</v>
      </c>
      <c r="B257" s="19">
        <v>13.0</v>
      </c>
      <c r="C257" s="19" t="s">
        <v>1148</v>
      </c>
      <c r="D257" s="19" t="s">
        <v>1149</v>
      </c>
      <c r="E257" s="19" t="s">
        <v>1150</v>
      </c>
      <c r="F257" s="19" t="s">
        <v>30</v>
      </c>
      <c r="G257" s="19" t="s">
        <v>1151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9" t="s">
        <v>182</v>
      </c>
      <c r="B258" s="19">
        <v>14.0</v>
      </c>
      <c r="C258" s="19" t="s">
        <v>1152</v>
      </c>
      <c r="D258" s="19" t="s">
        <v>1153</v>
      </c>
      <c r="E258" s="19" t="s">
        <v>1154</v>
      </c>
      <c r="F258" s="19" t="s">
        <v>22</v>
      </c>
      <c r="G258" s="19" t="s">
        <v>1155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9" t="s">
        <v>182</v>
      </c>
      <c r="B259" s="19">
        <v>15.0</v>
      </c>
      <c r="C259" s="19" t="s">
        <v>1156</v>
      </c>
      <c r="D259" s="19" t="s">
        <v>1157</v>
      </c>
      <c r="E259" s="19" t="s">
        <v>1158</v>
      </c>
      <c r="F259" s="19" t="s">
        <v>22</v>
      </c>
      <c r="G259" s="19" t="s">
        <v>1159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9" t="s">
        <v>182</v>
      </c>
      <c r="B260" s="19">
        <v>16.0</v>
      </c>
      <c r="C260" s="19" t="s">
        <v>1160</v>
      </c>
      <c r="D260" s="19" t="s">
        <v>1161</v>
      </c>
      <c r="E260" s="19" t="s">
        <v>1162</v>
      </c>
      <c r="F260" s="19" t="s">
        <v>22</v>
      </c>
      <c r="G260" s="19" t="s">
        <v>1163</v>
      </c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9" t="s">
        <v>182</v>
      </c>
      <c r="B261" s="19">
        <v>17.0</v>
      </c>
      <c r="C261" s="19" t="s">
        <v>1164</v>
      </c>
      <c r="D261" s="19" t="s">
        <v>1165</v>
      </c>
      <c r="E261" s="19" t="s">
        <v>1166</v>
      </c>
      <c r="F261" s="19" t="s">
        <v>30</v>
      </c>
      <c r="G261" s="19" t="s">
        <v>1167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9" t="s">
        <v>182</v>
      </c>
      <c r="B262" s="19">
        <v>18.0</v>
      </c>
      <c r="C262" s="19" t="s">
        <v>1168</v>
      </c>
      <c r="D262" s="19" t="s">
        <v>1169</v>
      </c>
      <c r="E262" s="19" t="s">
        <v>1170</v>
      </c>
      <c r="F262" s="19" t="s">
        <v>30</v>
      </c>
      <c r="G262" s="19" t="s">
        <v>1171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9" t="s">
        <v>182</v>
      </c>
      <c r="B263" s="19">
        <v>19.0</v>
      </c>
      <c r="C263" s="19" t="s">
        <v>1172</v>
      </c>
      <c r="D263" s="19" t="s">
        <v>1173</v>
      </c>
      <c r="E263" s="19" t="s">
        <v>1174</v>
      </c>
      <c r="F263" s="19" t="s">
        <v>30</v>
      </c>
      <c r="G263" s="19" t="s">
        <v>1175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9" t="s">
        <v>182</v>
      </c>
      <c r="B264" s="19">
        <v>20.0</v>
      </c>
      <c r="C264" s="19" t="s">
        <v>1176</v>
      </c>
      <c r="D264" s="19" t="s">
        <v>1177</v>
      </c>
      <c r="E264" s="19" t="s">
        <v>1178</v>
      </c>
      <c r="F264" s="19" t="s">
        <v>30</v>
      </c>
      <c r="G264" s="19" t="s">
        <v>1179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9" t="s">
        <v>182</v>
      </c>
      <c r="B265" s="19">
        <v>21.0</v>
      </c>
      <c r="C265" s="19" t="s">
        <v>1180</v>
      </c>
      <c r="D265" s="19" t="s">
        <v>1181</v>
      </c>
      <c r="E265" s="19" t="s">
        <v>1182</v>
      </c>
      <c r="F265" s="19" t="s">
        <v>22</v>
      </c>
      <c r="G265" s="19" t="s">
        <v>1183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9" t="s">
        <v>182</v>
      </c>
      <c r="B266" s="19">
        <v>22.0</v>
      </c>
      <c r="C266" s="19" t="s">
        <v>1184</v>
      </c>
      <c r="D266" s="19" t="s">
        <v>1185</v>
      </c>
      <c r="E266" s="19" t="s">
        <v>1186</v>
      </c>
      <c r="F266" s="19" t="s">
        <v>22</v>
      </c>
      <c r="G266" s="19" t="s">
        <v>1187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9" t="s">
        <v>182</v>
      </c>
      <c r="B267" s="19">
        <v>23.0</v>
      </c>
      <c r="C267" s="19" t="s">
        <v>1188</v>
      </c>
      <c r="D267" s="19" t="s">
        <v>1189</v>
      </c>
      <c r="E267" s="19" t="s">
        <v>1190</v>
      </c>
      <c r="F267" s="19" t="s">
        <v>22</v>
      </c>
      <c r="G267" s="19" t="s">
        <v>1191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9" t="s">
        <v>182</v>
      </c>
      <c r="B268" s="19">
        <v>24.0</v>
      </c>
      <c r="C268" s="19" t="s">
        <v>1192</v>
      </c>
      <c r="D268" s="19" t="s">
        <v>1193</v>
      </c>
      <c r="E268" s="19" t="s">
        <v>1194</v>
      </c>
      <c r="F268" s="19" t="s">
        <v>30</v>
      </c>
      <c r="G268" s="19" t="s">
        <v>1195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9" t="s">
        <v>182</v>
      </c>
      <c r="B269" s="19">
        <v>25.0</v>
      </c>
      <c r="C269" s="19" t="s">
        <v>1196</v>
      </c>
      <c r="D269" s="19" t="s">
        <v>1197</v>
      </c>
      <c r="E269" s="19" t="s">
        <v>1198</v>
      </c>
      <c r="F269" s="19" t="s">
        <v>22</v>
      </c>
      <c r="G269" s="19" t="s">
        <v>1199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9" t="s">
        <v>182</v>
      </c>
      <c r="B270" s="19">
        <v>26.0</v>
      </c>
      <c r="C270" s="19" t="s">
        <v>1200</v>
      </c>
      <c r="D270" s="19" t="s">
        <v>1201</v>
      </c>
      <c r="E270" s="19" t="s">
        <v>1202</v>
      </c>
      <c r="F270" s="19" t="s">
        <v>22</v>
      </c>
      <c r="G270" s="19" t="s">
        <v>1203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9" t="s">
        <v>182</v>
      </c>
      <c r="B271" s="19">
        <v>27.0</v>
      </c>
      <c r="C271" s="19" t="s">
        <v>1204</v>
      </c>
      <c r="D271" s="19" t="s">
        <v>1205</v>
      </c>
      <c r="E271" s="19" t="s">
        <v>1206</v>
      </c>
      <c r="F271" s="19" t="s">
        <v>22</v>
      </c>
      <c r="G271" s="19" t="s">
        <v>1207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9" t="s">
        <v>182</v>
      </c>
      <c r="B272" s="19">
        <v>28.0</v>
      </c>
      <c r="C272" s="19" t="s">
        <v>1208</v>
      </c>
      <c r="D272" s="19" t="s">
        <v>1209</v>
      </c>
      <c r="E272" s="19" t="s">
        <v>1210</v>
      </c>
      <c r="F272" s="19" t="s">
        <v>22</v>
      </c>
      <c r="G272" s="19" t="s">
        <v>1211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9" t="s">
        <v>182</v>
      </c>
      <c r="B273" s="19">
        <v>29.0</v>
      </c>
      <c r="C273" s="19" t="s">
        <v>1212</v>
      </c>
      <c r="D273" s="19" t="s">
        <v>1213</v>
      </c>
      <c r="E273" s="19" t="s">
        <v>1214</v>
      </c>
      <c r="F273" s="19" t="s">
        <v>30</v>
      </c>
      <c r="G273" s="19" t="s">
        <v>1215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9" t="s">
        <v>182</v>
      </c>
      <c r="B274" s="19">
        <v>30.0</v>
      </c>
      <c r="C274" s="19" t="s">
        <v>1216</v>
      </c>
      <c r="D274" s="19" t="s">
        <v>1217</v>
      </c>
      <c r="E274" s="19" t="s">
        <v>1218</v>
      </c>
      <c r="F274" s="19" t="s">
        <v>30</v>
      </c>
      <c r="G274" s="19" t="s">
        <v>1219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9" t="s">
        <v>182</v>
      </c>
      <c r="B275" s="19">
        <v>31.0</v>
      </c>
      <c r="C275" s="19" t="s">
        <v>1220</v>
      </c>
      <c r="D275" s="19" t="s">
        <v>1221</v>
      </c>
      <c r="E275" s="19" t="s">
        <v>1222</v>
      </c>
      <c r="F275" s="19" t="s">
        <v>22</v>
      </c>
      <c r="G275" s="19" t="s">
        <v>1223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9" t="s">
        <v>182</v>
      </c>
      <c r="B276" s="19">
        <v>32.0</v>
      </c>
      <c r="C276" s="19" t="s">
        <v>1224</v>
      </c>
      <c r="D276" s="19" t="s">
        <v>1225</v>
      </c>
      <c r="E276" s="19" t="s">
        <v>1226</v>
      </c>
      <c r="F276" s="19" t="s">
        <v>30</v>
      </c>
      <c r="G276" s="19" t="s">
        <v>1227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9" t="s">
        <v>182</v>
      </c>
      <c r="B277" s="19">
        <v>33.0</v>
      </c>
      <c r="C277" s="19" t="s">
        <v>1228</v>
      </c>
      <c r="D277" s="19" t="s">
        <v>1229</v>
      </c>
      <c r="E277" s="19" t="s">
        <v>1230</v>
      </c>
      <c r="F277" s="19" t="s">
        <v>30</v>
      </c>
      <c r="G277" s="19" t="s">
        <v>1231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9" t="s">
        <v>182</v>
      </c>
      <c r="B278" s="19">
        <v>34.0</v>
      </c>
      <c r="C278" s="19" t="s">
        <v>1232</v>
      </c>
      <c r="D278" s="19" t="s">
        <v>1233</v>
      </c>
      <c r="E278" s="19" t="s">
        <v>1234</v>
      </c>
      <c r="F278" s="19" t="s">
        <v>22</v>
      </c>
      <c r="G278" s="19" t="s">
        <v>1235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9" t="s">
        <v>182</v>
      </c>
      <c r="B279" s="19">
        <v>35.0</v>
      </c>
      <c r="C279" s="19" t="s">
        <v>1236</v>
      </c>
      <c r="D279" s="19" t="s">
        <v>1237</v>
      </c>
      <c r="E279" s="19" t="s">
        <v>1238</v>
      </c>
      <c r="F279" s="19" t="s">
        <v>30</v>
      </c>
      <c r="G279" s="19" t="s">
        <v>1239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9" t="s">
        <v>199</v>
      </c>
      <c r="B280" s="19">
        <v>1.0</v>
      </c>
      <c r="C280" s="19" t="s">
        <v>1240</v>
      </c>
      <c r="D280" s="19" t="s">
        <v>1241</v>
      </c>
      <c r="E280" s="19" t="s">
        <v>1242</v>
      </c>
      <c r="F280" s="19" t="s">
        <v>22</v>
      </c>
      <c r="G280" s="19" t="s">
        <v>1243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9" t="s">
        <v>199</v>
      </c>
      <c r="B281" s="19">
        <v>2.0</v>
      </c>
      <c r="C281" s="19" t="s">
        <v>1244</v>
      </c>
      <c r="D281" s="19" t="s">
        <v>1245</v>
      </c>
      <c r="E281" s="19" t="s">
        <v>1246</v>
      </c>
      <c r="F281" s="19" t="s">
        <v>22</v>
      </c>
      <c r="G281" s="19" t="s">
        <v>1247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9" t="s">
        <v>199</v>
      </c>
      <c r="B282" s="19">
        <v>3.0</v>
      </c>
      <c r="C282" s="19" t="s">
        <v>1248</v>
      </c>
      <c r="D282" s="19" t="s">
        <v>1249</v>
      </c>
      <c r="E282" s="19" t="s">
        <v>1250</v>
      </c>
      <c r="F282" s="19" t="s">
        <v>30</v>
      </c>
      <c r="G282" s="19" t="s">
        <v>1251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9" t="s">
        <v>199</v>
      </c>
      <c r="B283" s="19">
        <v>4.0</v>
      </c>
      <c r="C283" s="19" t="s">
        <v>1252</v>
      </c>
      <c r="D283" s="19" t="s">
        <v>1253</v>
      </c>
      <c r="E283" s="19" t="s">
        <v>444</v>
      </c>
      <c r="F283" s="19" t="s">
        <v>22</v>
      </c>
      <c r="G283" s="19" t="s">
        <v>1254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9" t="s">
        <v>199</v>
      </c>
      <c r="B284" s="19">
        <v>5.0</v>
      </c>
      <c r="C284" s="19" t="s">
        <v>1255</v>
      </c>
      <c r="D284" s="19" t="s">
        <v>1256</v>
      </c>
      <c r="E284" s="19" t="s">
        <v>1257</v>
      </c>
      <c r="F284" s="19" t="s">
        <v>30</v>
      </c>
      <c r="G284" s="19" t="s">
        <v>1258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9" t="s">
        <v>199</v>
      </c>
      <c r="B285" s="19">
        <v>6.0</v>
      </c>
      <c r="C285" s="19" t="s">
        <v>1259</v>
      </c>
      <c r="D285" s="19" t="s">
        <v>1260</v>
      </c>
      <c r="E285" s="19" t="s">
        <v>1261</v>
      </c>
      <c r="F285" s="19" t="s">
        <v>30</v>
      </c>
      <c r="G285" s="19" t="s">
        <v>1262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9" t="s">
        <v>199</v>
      </c>
      <c r="B286" s="19">
        <v>7.0</v>
      </c>
      <c r="C286" s="19" t="s">
        <v>1263</v>
      </c>
      <c r="D286" s="19" t="s">
        <v>1264</v>
      </c>
      <c r="E286" s="19" t="s">
        <v>1265</v>
      </c>
      <c r="F286" s="19" t="s">
        <v>22</v>
      </c>
      <c r="G286" s="19" t="s">
        <v>1266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9" t="s">
        <v>199</v>
      </c>
      <c r="B287" s="19">
        <v>8.0</v>
      </c>
      <c r="C287" s="19" t="s">
        <v>1267</v>
      </c>
      <c r="D287" s="19" t="s">
        <v>1268</v>
      </c>
      <c r="E287" s="19" t="s">
        <v>1269</v>
      </c>
      <c r="F287" s="19" t="s">
        <v>30</v>
      </c>
      <c r="G287" s="19" t="s">
        <v>1270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9" t="s">
        <v>199</v>
      </c>
      <c r="B288" s="19">
        <v>9.0</v>
      </c>
      <c r="C288" s="19" t="s">
        <v>1271</v>
      </c>
      <c r="D288" s="19" t="s">
        <v>1272</v>
      </c>
      <c r="E288" s="19" t="s">
        <v>1273</v>
      </c>
      <c r="F288" s="19" t="s">
        <v>30</v>
      </c>
      <c r="G288" s="19" t="s">
        <v>1274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9" t="s">
        <v>199</v>
      </c>
      <c r="B289" s="19">
        <v>10.0</v>
      </c>
      <c r="C289" s="19" t="s">
        <v>1275</v>
      </c>
      <c r="D289" s="19" t="s">
        <v>1276</v>
      </c>
      <c r="E289" s="19" t="s">
        <v>1277</v>
      </c>
      <c r="F289" s="19" t="s">
        <v>30</v>
      </c>
      <c r="G289" s="19" t="s">
        <v>1278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9" t="s">
        <v>199</v>
      </c>
      <c r="B290" s="19">
        <v>11.0</v>
      </c>
      <c r="C290" s="19" t="s">
        <v>1279</v>
      </c>
      <c r="D290" s="19" t="s">
        <v>1280</v>
      </c>
      <c r="E290" s="19" t="s">
        <v>1281</v>
      </c>
      <c r="F290" s="19" t="s">
        <v>22</v>
      </c>
      <c r="G290" s="19" t="s">
        <v>1282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9" t="s">
        <v>199</v>
      </c>
      <c r="B291" s="19">
        <v>12.0</v>
      </c>
      <c r="C291" s="19" t="s">
        <v>1283</v>
      </c>
      <c r="D291" s="19" t="s">
        <v>1284</v>
      </c>
      <c r="E291" s="19" t="s">
        <v>1285</v>
      </c>
      <c r="F291" s="19" t="s">
        <v>30</v>
      </c>
      <c r="G291" s="19" t="s">
        <v>1286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9" t="s">
        <v>199</v>
      </c>
      <c r="B292" s="19">
        <v>13.0</v>
      </c>
      <c r="C292" s="19" t="s">
        <v>1287</v>
      </c>
      <c r="D292" s="19" t="s">
        <v>1288</v>
      </c>
      <c r="E292" s="19" t="s">
        <v>1289</v>
      </c>
      <c r="F292" s="19" t="s">
        <v>30</v>
      </c>
      <c r="G292" s="19" t="s">
        <v>1290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9" t="s">
        <v>199</v>
      </c>
      <c r="B293" s="19">
        <v>14.0</v>
      </c>
      <c r="C293" s="19" t="s">
        <v>1291</v>
      </c>
      <c r="D293" s="19" t="s">
        <v>1292</v>
      </c>
      <c r="E293" s="19" t="s">
        <v>1293</v>
      </c>
      <c r="F293" s="19" t="s">
        <v>22</v>
      </c>
      <c r="G293" s="19" t="s">
        <v>1294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9" t="s">
        <v>199</v>
      </c>
      <c r="B294" s="19">
        <v>15.0</v>
      </c>
      <c r="C294" s="19" t="s">
        <v>1295</v>
      </c>
      <c r="D294" s="19" t="s">
        <v>1296</v>
      </c>
      <c r="E294" s="19" t="s">
        <v>1297</v>
      </c>
      <c r="F294" s="19" t="s">
        <v>22</v>
      </c>
      <c r="G294" s="19" t="s">
        <v>1298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9" t="s">
        <v>199</v>
      </c>
      <c r="B295" s="19">
        <v>16.0</v>
      </c>
      <c r="C295" s="19" t="s">
        <v>1299</v>
      </c>
      <c r="D295" s="19" t="s">
        <v>1300</v>
      </c>
      <c r="E295" s="19" t="s">
        <v>1301</v>
      </c>
      <c r="F295" s="19" t="s">
        <v>22</v>
      </c>
      <c r="G295" s="19" t="s">
        <v>1302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9" t="s">
        <v>199</v>
      </c>
      <c r="B296" s="19">
        <v>17.0</v>
      </c>
      <c r="C296" s="19" t="s">
        <v>1303</v>
      </c>
      <c r="D296" s="19" t="s">
        <v>1304</v>
      </c>
      <c r="E296" s="19" t="s">
        <v>1305</v>
      </c>
      <c r="F296" s="19" t="s">
        <v>30</v>
      </c>
      <c r="G296" s="19" t="s">
        <v>1306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9" t="s">
        <v>199</v>
      </c>
      <c r="B297" s="19">
        <v>18.0</v>
      </c>
      <c r="C297" s="19" t="s">
        <v>1307</v>
      </c>
      <c r="D297" s="19" t="s">
        <v>1308</v>
      </c>
      <c r="E297" s="19" t="s">
        <v>1309</v>
      </c>
      <c r="F297" s="19" t="s">
        <v>30</v>
      </c>
      <c r="G297" s="19" t="s">
        <v>1310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9" t="s">
        <v>199</v>
      </c>
      <c r="B298" s="19">
        <v>19.0</v>
      </c>
      <c r="C298" s="19" t="s">
        <v>1311</v>
      </c>
      <c r="D298" s="19" t="s">
        <v>1312</v>
      </c>
      <c r="E298" s="19" t="s">
        <v>1313</v>
      </c>
      <c r="F298" s="19" t="s">
        <v>30</v>
      </c>
      <c r="G298" s="19" t="s">
        <v>1314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9" t="s">
        <v>199</v>
      </c>
      <c r="B299" s="19">
        <v>20.0</v>
      </c>
      <c r="C299" s="19" t="s">
        <v>1315</v>
      </c>
      <c r="D299" s="19" t="s">
        <v>1316</v>
      </c>
      <c r="E299" s="19" t="s">
        <v>1317</v>
      </c>
      <c r="F299" s="19" t="s">
        <v>22</v>
      </c>
      <c r="G299" s="19" t="s">
        <v>1318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9" t="s">
        <v>199</v>
      </c>
      <c r="B300" s="19">
        <v>21.0</v>
      </c>
      <c r="C300" s="19" t="s">
        <v>1319</v>
      </c>
      <c r="D300" s="19" t="s">
        <v>1320</v>
      </c>
      <c r="E300" s="19" t="s">
        <v>1321</v>
      </c>
      <c r="F300" s="19" t="s">
        <v>22</v>
      </c>
      <c r="G300" s="19" t="s">
        <v>1322</v>
      </c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9" t="s">
        <v>199</v>
      </c>
      <c r="B301" s="19">
        <v>22.0</v>
      </c>
      <c r="C301" s="19" t="s">
        <v>1323</v>
      </c>
      <c r="D301" s="19" t="s">
        <v>1324</v>
      </c>
      <c r="E301" s="19" t="s">
        <v>1325</v>
      </c>
      <c r="F301" s="19" t="s">
        <v>22</v>
      </c>
      <c r="G301" s="19" t="s">
        <v>1326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9" t="s">
        <v>199</v>
      </c>
      <c r="B302" s="19">
        <v>23.0</v>
      </c>
      <c r="C302" s="19" t="s">
        <v>1327</v>
      </c>
      <c r="D302" s="19" t="s">
        <v>1328</v>
      </c>
      <c r="E302" s="19" t="s">
        <v>1329</v>
      </c>
      <c r="F302" s="19" t="s">
        <v>30</v>
      </c>
      <c r="G302" s="19" t="s">
        <v>1330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9" t="s">
        <v>199</v>
      </c>
      <c r="B303" s="19">
        <v>24.0</v>
      </c>
      <c r="C303" s="19" t="s">
        <v>1331</v>
      </c>
      <c r="D303" s="19" t="s">
        <v>1332</v>
      </c>
      <c r="E303" s="19" t="s">
        <v>1333</v>
      </c>
      <c r="F303" s="19" t="s">
        <v>30</v>
      </c>
      <c r="G303" s="19" t="s">
        <v>1334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9" t="s">
        <v>199</v>
      </c>
      <c r="B304" s="19">
        <v>25.0</v>
      </c>
      <c r="C304" s="19" t="s">
        <v>1335</v>
      </c>
      <c r="D304" s="19" t="s">
        <v>1336</v>
      </c>
      <c r="E304" s="19" t="s">
        <v>1337</v>
      </c>
      <c r="F304" s="19" t="s">
        <v>22</v>
      </c>
      <c r="G304" s="19" t="s">
        <v>1338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9" t="s">
        <v>199</v>
      </c>
      <c r="B305" s="19">
        <v>26.0</v>
      </c>
      <c r="C305" s="19" t="s">
        <v>1339</v>
      </c>
      <c r="D305" s="19" t="s">
        <v>1340</v>
      </c>
      <c r="E305" s="19" t="s">
        <v>1341</v>
      </c>
      <c r="F305" s="19" t="s">
        <v>30</v>
      </c>
      <c r="G305" s="19" t="s">
        <v>1342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9" t="s">
        <v>199</v>
      </c>
      <c r="B306" s="19">
        <v>27.0</v>
      </c>
      <c r="C306" s="19" t="s">
        <v>1343</v>
      </c>
      <c r="D306" s="19" t="s">
        <v>1344</v>
      </c>
      <c r="E306" s="19" t="s">
        <v>1345</v>
      </c>
      <c r="F306" s="19" t="s">
        <v>30</v>
      </c>
      <c r="G306" s="19" t="s">
        <v>1346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9" t="s">
        <v>199</v>
      </c>
      <c r="B307" s="19">
        <v>28.0</v>
      </c>
      <c r="C307" s="19" t="s">
        <v>1347</v>
      </c>
      <c r="D307" s="19" t="s">
        <v>1348</v>
      </c>
      <c r="E307" s="19" t="s">
        <v>1349</v>
      </c>
      <c r="F307" s="19" t="s">
        <v>30</v>
      </c>
      <c r="G307" s="19" t="s">
        <v>1350</v>
      </c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9" t="s">
        <v>199</v>
      </c>
      <c r="B308" s="19">
        <v>29.0</v>
      </c>
      <c r="C308" s="19" t="s">
        <v>1351</v>
      </c>
      <c r="D308" s="19" t="s">
        <v>1352</v>
      </c>
      <c r="E308" s="19" t="s">
        <v>1353</v>
      </c>
      <c r="F308" s="19" t="s">
        <v>22</v>
      </c>
      <c r="G308" s="19" t="s">
        <v>1354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9" t="s">
        <v>199</v>
      </c>
      <c r="B309" s="19">
        <v>30.0</v>
      </c>
      <c r="C309" s="19" t="s">
        <v>1355</v>
      </c>
      <c r="D309" s="19" t="s">
        <v>1356</v>
      </c>
      <c r="E309" s="19" t="s">
        <v>1357</v>
      </c>
      <c r="F309" s="19" t="s">
        <v>22</v>
      </c>
      <c r="G309" s="19" t="s">
        <v>1358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9" t="s">
        <v>199</v>
      </c>
      <c r="B310" s="19">
        <v>31.0</v>
      </c>
      <c r="C310" s="19" t="s">
        <v>1359</v>
      </c>
      <c r="D310" s="19" t="s">
        <v>1360</v>
      </c>
      <c r="E310" s="19" t="s">
        <v>1361</v>
      </c>
      <c r="F310" s="19" t="s">
        <v>22</v>
      </c>
      <c r="G310" s="19" t="s">
        <v>1362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9" t="s">
        <v>199</v>
      </c>
      <c r="B311" s="19">
        <v>32.0</v>
      </c>
      <c r="C311" s="19" t="s">
        <v>1363</v>
      </c>
      <c r="D311" s="19" t="s">
        <v>1364</v>
      </c>
      <c r="E311" s="19" t="s">
        <v>1365</v>
      </c>
      <c r="F311" s="19" t="s">
        <v>22</v>
      </c>
      <c r="G311" s="19" t="s">
        <v>1366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9" t="s">
        <v>199</v>
      </c>
      <c r="B312" s="19">
        <v>33.0</v>
      </c>
      <c r="C312" s="19" t="s">
        <v>1367</v>
      </c>
      <c r="D312" s="19" t="s">
        <v>1368</v>
      </c>
      <c r="E312" s="19" t="s">
        <v>1369</v>
      </c>
      <c r="F312" s="19" t="s">
        <v>30</v>
      </c>
      <c r="G312" s="19" t="s">
        <v>1370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9" t="s">
        <v>199</v>
      </c>
      <c r="B313" s="19">
        <v>34.0</v>
      </c>
      <c r="C313" s="19" t="s">
        <v>1371</v>
      </c>
      <c r="D313" s="19" t="s">
        <v>1372</v>
      </c>
      <c r="E313" s="19" t="s">
        <v>1373</v>
      </c>
      <c r="F313" s="19" t="s">
        <v>22</v>
      </c>
      <c r="G313" s="19" t="s">
        <v>1374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9" t="s">
        <v>199</v>
      </c>
      <c r="B314" s="19">
        <v>35.0</v>
      </c>
      <c r="C314" s="19" t="s">
        <v>1375</v>
      </c>
      <c r="D314" s="19" t="s">
        <v>1376</v>
      </c>
      <c r="E314" s="19" t="s">
        <v>1377</v>
      </c>
      <c r="F314" s="19" t="s">
        <v>30</v>
      </c>
      <c r="G314" s="19" t="s">
        <v>1378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9" t="s">
        <v>222</v>
      </c>
      <c r="B315" s="19">
        <v>1.0</v>
      </c>
      <c r="C315" s="19" t="s">
        <v>1380</v>
      </c>
      <c r="D315" s="19" t="s">
        <v>1382</v>
      </c>
      <c r="E315" s="19" t="s">
        <v>1383</v>
      </c>
      <c r="F315" s="19" t="s">
        <v>22</v>
      </c>
      <c r="G315" s="19" t="s">
        <v>1384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9" t="s">
        <v>222</v>
      </c>
      <c r="B316" s="19">
        <v>2.0</v>
      </c>
      <c r="C316" s="19" t="s">
        <v>1386</v>
      </c>
      <c r="D316" s="19" t="s">
        <v>1387</v>
      </c>
      <c r="E316" s="19" t="s">
        <v>1388</v>
      </c>
      <c r="F316" s="19" t="s">
        <v>22</v>
      </c>
      <c r="G316" s="19" t="s">
        <v>1389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9" t="s">
        <v>222</v>
      </c>
      <c r="B317" s="19">
        <v>3.0</v>
      </c>
      <c r="C317" s="19" t="s">
        <v>1390</v>
      </c>
      <c r="D317" s="19" t="s">
        <v>1391</v>
      </c>
      <c r="E317" s="19" t="s">
        <v>1392</v>
      </c>
      <c r="F317" s="19" t="s">
        <v>30</v>
      </c>
      <c r="G317" s="19" t="s">
        <v>1393</v>
      </c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9" t="s">
        <v>222</v>
      </c>
      <c r="B318" s="19">
        <v>4.0</v>
      </c>
      <c r="C318" s="19" t="s">
        <v>1394</v>
      </c>
      <c r="D318" s="19" t="s">
        <v>1395</v>
      </c>
      <c r="E318" s="19" t="s">
        <v>1396</v>
      </c>
      <c r="F318" s="19" t="s">
        <v>30</v>
      </c>
      <c r="G318" s="19" t="s">
        <v>1397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9" t="s">
        <v>222</v>
      </c>
      <c r="B319" s="19">
        <v>5.0</v>
      </c>
      <c r="C319" s="19" t="s">
        <v>1398</v>
      </c>
      <c r="D319" s="19" t="s">
        <v>1399</v>
      </c>
      <c r="E319" s="19" t="s">
        <v>1400</v>
      </c>
      <c r="F319" s="19" t="s">
        <v>30</v>
      </c>
      <c r="G319" s="19" t="s">
        <v>1401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9" t="s">
        <v>222</v>
      </c>
      <c r="B320" s="19">
        <v>6.0</v>
      </c>
      <c r="C320" s="19" t="s">
        <v>1402</v>
      </c>
      <c r="D320" s="19" t="s">
        <v>1403</v>
      </c>
      <c r="E320" s="19" t="s">
        <v>1404</v>
      </c>
      <c r="F320" s="19" t="s">
        <v>22</v>
      </c>
      <c r="G320" s="19" t="s">
        <v>1405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9" t="s">
        <v>222</v>
      </c>
      <c r="B321" s="19">
        <v>7.0</v>
      </c>
      <c r="C321" s="19" t="s">
        <v>1406</v>
      </c>
      <c r="D321" s="19" t="s">
        <v>1407</v>
      </c>
      <c r="E321" s="19" t="s">
        <v>1408</v>
      </c>
      <c r="F321" s="19" t="s">
        <v>22</v>
      </c>
      <c r="G321" s="19" t="s">
        <v>1409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9" t="s">
        <v>222</v>
      </c>
      <c r="B322" s="19">
        <v>8.0</v>
      </c>
      <c r="C322" s="19" t="s">
        <v>1410</v>
      </c>
      <c r="D322" s="19" t="s">
        <v>1411</v>
      </c>
      <c r="E322" s="19" t="s">
        <v>1412</v>
      </c>
      <c r="F322" s="19" t="s">
        <v>22</v>
      </c>
      <c r="G322" s="19" t="s">
        <v>1413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9" t="s">
        <v>222</v>
      </c>
      <c r="B323" s="19">
        <v>9.0</v>
      </c>
      <c r="C323" s="19" t="s">
        <v>1414</v>
      </c>
      <c r="D323" s="19" t="s">
        <v>1415</v>
      </c>
      <c r="E323" s="19" t="s">
        <v>1416</v>
      </c>
      <c r="F323" s="19" t="s">
        <v>22</v>
      </c>
      <c r="G323" s="19" t="s">
        <v>1417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9" t="s">
        <v>222</v>
      </c>
      <c r="B324" s="19">
        <v>10.0</v>
      </c>
      <c r="C324" s="19" t="s">
        <v>1418</v>
      </c>
      <c r="D324" s="19" t="s">
        <v>1419</v>
      </c>
      <c r="E324" s="19" t="s">
        <v>1420</v>
      </c>
      <c r="F324" s="19" t="s">
        <v>30</v>
      </c>
      <c r="G324" s="19" t="s">
        <v>1421</v>
      </c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9" t="s">
        <v>222</v>
      </c>
      <c r="B325" s="19">
        <v>11.0</v>
      </c>
      <c r="C325" s="19" t="s">
        <v>1422</v>
      </c>
      <c r="D325" s="19" t="s">
        <v>1423</v>
      </c>
      <c r="E325" s="19" t="s">
        <v>1424</v>
      </c>
      <c r="F325" s="19" t="s">
        <v>30</v>
      </c>
      <c r="G325" s="19" t="s">
        <v>1425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9" t="s">
        <v>222</v>
      </c>
      <c r="B326" s="19">
        <v>12.0</v>
      </c>
      <c r="C326" s="19" t="s">
        <v>1426</v>
      </c>
      <c r="D326" s="19" t="s">
        <v>1427</v>
      </c>
      <c r="E326" s="19" t="s">
        <v>1428</v>
      </c>
      <c r="F326" s="19" t="s">
        <v>22</v>
      </c>
      <c r="G326" s="19" t="s">
        <v>1429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9" t="s">
        <v>222</v>
      </c>
      <c r="B327" s="19">
        <v>13.0</v>
      </c>
      <c r="C327" s="19" t="s">
        <v>1430</v>
      </c>
      <c r="D327" s="19" t="s">
        <v>1431</v>
      </c>
      <c r="E327" s="19" t="s">
        <v>1432</v>
      </c>
      <c r="F327" s="19" t="s">
        <v>30</v>
      </c>
      <c r="G327" s="19" t="s">
        <v>1433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9" t="s">
        <v>222</v>
      </c>
      <c r="B328" s="19">
        <v>14.0</v>
      </c>
      <c r="C328" s="19" t="s">
        <v>1434</v>
      </c>
      <c r="D328" s="19" t="s">
        <v>1435</v>
      </c>
      <c r="E328" s="19" t="s">
        <v>1436</v>
      </c>
      <c r="F328" s="19" t="s">
        <v>30</v>
      </c>
      <c r="G328" s="19" t="s">
        <v>1437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9" t="s">
        <v>222</v>
      </c>
      <c r="B329" s="19">
        <v>15.0</v>
      </c>
      <c r="C329" s="19" t="s">
        <v>1438</v>
      </c>
      <c r="D329" s="19" t="s">
        <v>1439</v>
      </c>
      <c r="E329" s="19" t="s">
        <v>1440</v>
      </c>
      <c r="F329" s="19" t="s">
        <v>22</v>
      </c>
      <c r="G329" s="19" t="s">
        <v>1441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9" t="s">
        <v>222</v>
      </c>
      <c r="B330" s="19">
        <v>16.0</v>
      </c>
      <c r="C330" s="19" t="s">
        <v>1443</v>
      </c>
      <c r="D330" s="19" t="s">
        <v>1444</v>
      </c>
      <c r="E330" s="19" t="s">
        <v>1445</v>
      </c>
      <c r="F330" s="19" t="s">
        <v>30</v>
      </c>
      <c r="G330" s="19" t="s">
        <v>1446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9" t="s">
        <v>222</v>
      </c>
      <c r="B331" s="19">
        <v>17.0</v>
      </c>
      <c r="C331" s="19" t="s">
        <v>1447</v>
      </c>
      <c r="D331" s="19" t="s">
        <v>1448</v>
      </c>
      <c r="E331" s="19" t="s">
        <v>1449</v>
      </c>
      <c r="F331" s="19" t="s">
        <v>30</v>
      </c>
      <c r="G331" s="19" t="s">
        <v>1450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9" t="s">
        <v>222</v>
      </c>
      <c r="B332" s="19">
        <v>18.0</v>
      </c>
      <c r="C332" s="19" t="s">
        <v>1451</v>
      </c>
      <c r="D332" s="19" t="s">
        <v>1452</v>
      </c>
      <c r="E332" s="19" t="s">
        <v>1453</v>
      </c>
      <c r="F332" s="19" t="s">
        <v>30</v>
      </c>
      <c r="G332" s="19" t="s">
        <v>1454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9" t="s">
        <v>222</v>
      </c>
      <c r="B333" s="19">
        <v>19.0</v>
      </c>
      <c r="C333" s="19" t="s">
        <v>1455</v>
      </c>
      <c r="D333" s="19" t="s">
        <v>1456</v>
      </c>
      <c r="E333" s="19" t="s">
        <v>1457</v>
      </c>
      <c r="F333" s="19" t="s">
        <v>22</v>
      </c>
      <c r="G333" s="19" t="s">
        <v>1458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9" t="s">
        <v>222</v>
      </c>
      <c r="B334" s="19">
        <v>20.0</v>
      </c>
      <c r="C334" s="19" t="s">
        <v>1459</v>
      </c>
      <c r="D334" s="19" t="s">
        <v>1460</v>
      </c>
      <c r="E334" s="19" t="s">
        <v>1461</v>
      </c>
      <c r="F334" s="19" t="s">
        <v>30</v>
      </c>
      <c r="G334" s="19" t="s">
        <v>1462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9" t="s">
        <v>222</v>
      </c>
      <c r="B335" s="19">
        <v>21.0</v>
      </c>
      <c r="C335" s="19" t="s">
        <v>1463</v>
      </c>
      <c r="D335" s="19" t="s">
        <v>1464</v>
      </c>
      <c r="E335" s="19" t="s">
        <v>1465</v>
      </c>
      <c r="F335" s="19" t="s">
        <v>22</v>
      </c>
      <c r="G335" s="19" t="s">
        <v>1466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9" t="s">
        <v>222</v>
      </c>
      <c r="B336" s="19">
        <v>22.0</v>
      </c>
      <c r="C336" s="19" t="s">
        <v>1469</v>
      </c>
      <c r="D336" s="19" t="s">
        <v>1470</v>
      </c>
      <c r="E336" s="19" t="s">
        <v>1471</v>
      </c>
      <c r="F336" s="19" t="s">
        <v>30</v>
      </c>
      <c r="G336" s="19" t="s">
        <v>1472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9" t="s">
        <v>222</v>
      </c>
      <c r="B337" s="19">
        <v>23.0</v>
      </c>
      <c r="C337" s="19" t="s">
        <v>1473</v>
      </c>
      <c r="D337" s="19" t="s">
        <v>1474</v>
      </c>
      <c r="E337" s="19" t="s">
        <v>1475</v>
      </c>
      <c r="F337" s="19" t="s">
        <v>30</v>
      </c>
      <c r="G337" s="19" t="s">
        <v>1476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9" t="s">
        <v>222</v>
      </c>
      <c r="B338" s="19">
        <v>24.0</v>
      </c>
      <c r="C338" s="19" t="s">
        <v>1477</v>
      </c>
      <c r="D338" s="19" t="s">
        <v>1478</v>
      </c>
      <c r="E338" s="19" t="s">
        <v>1479</v>
      </c>
      <c r="F338" s="19" t="s">
        <v>22</v>
      </c>
      <c r="G338" s="19" t="s">
        <v>1480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9" t="s">
        <v>222</v>
      </c>
      <c r="B339" s="19">
        <v>25.0</v>
      </c>
      <c r="C339" s="19" t="s">
        <v>1481</v>
      </c>
      <c r="D339" s="19" t="s">
        <v>1482</v>
      </c>
      <c r="E339" s="19" t="s">
        <v>1483</v>
      </c>
      <c r="F339" s="19" t="s">
        <v>30</v>
      </c>
      <c r="G339" s="19" t="s">
        <v>1484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9" t="s">
        <v>222</v>
      </c>
      <c r="B340" s="19">
        <v>26.0</v>
      </c>
      <c r="C340" s="19" t="s">
        <v>1485</v>
      </c>
      <c r="D340" s="19" t="s">
        <v>1486</v>
      </c>
      <c r="E340" s="19" t="s">
        <v>1487</v>
      </c>
      <c r="F340" s="19" t="s">
        <v>22</v>
      </c>
      <c r="G340" s="19" t="s">
        <v>1488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9" t="s">
        <v>222</v>
      </c>
      <c r="B341" s="19">
        <v>27.0</v>
      </c>
      <c r="C341" s="19" t="s">
        <v>1489</v>
      </c>
      <c r="D341" s="19" t="s">
        <v>1490</v>
      </c>
      <c r="E341" s="19" t="s">
        <v>1491</v>
      </c>
      <c r="F341" s="19" t="s">
        <v>30</v>
      </c>
      <c r="G341" s="19" t="s">
        <v>1492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9" t="s">
        <v>222</v>
      </c>
      <c r="B342" s="19">
        <v>28.0</v>
      </c>
      <c r="C342" s="19" t="s">
        <v>1493</v>
      </c>
      <c r="D342" s="19" t="s">
        <v>1494</v>
      </c>
      <c r="E342" s="19" t="s">
        <v>1495</v>
      </c>
      <c r="F342" s="19" t="s">
        <v>30</v>
      </c>
      <c r="G342" s="19" t="s">
        <v>1496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9" t="s">
        <v>222</v>
      </c>
      <c r="B343" s="19">
        <v>29.0</v>
      </c>
      <c r="C343" s="19" t="s">
        <v>1497</v>
      </c>
      <c r="D343" s="19" t="s">
        <v>1498</v>
      </c>
      <c r="E343" s="19" t="s">
        <v>1499</v>
      </c>
      <c r="F343" s="19" t="s">
        <v>30</v>
      </c>
      <c r="G343" s="19" t="s">
        <v>1500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9" t="s">
        <v>222</v>
      </c>
      <c r="B344" s="19">
        <v>30.0</v>
      </c>
      <c r="C344" s="19" t="s">
        <v>1501</v>
      </c>
      <c r="D344" s="19" t="s">
        <v>1502</v>
      </c>
      <c r="E344" s="19" t="s">
        <v>1503</v>
      </c>
      <c r="F344" s="19" t="s">
        <v>30</v>
      </c>
      <c r="G344" s="19" t="s">
        <v>1504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9" t="s">
        <v>222</v>
      </c>
      <c r="B345" s="19">
        <v>31.0</v>
      </c>
      <c r="C345" s="19" t="s">
        <v>1505</v>
      </c>
      <c r="D345" s="19" t="s">
        <v>1506</v>
      </c>
      <c r="E345" s="19" t="s">
        <v>1507</v>
      </c>
      <c r="F345" s="19" t="s">
        <v>22</v>
      </c>
      <c r="G345" s="19" t="s">
        <v>1508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9" t="s">
        <v>222</v>
      </c>
      <c r="B346" s="19">
        <v>32.0</v>
      </c>
      <c r="C346" s="19" t="s">
        <v>1509</v>
      </c>
      <c r="D346" s="19" t="s">
        <v>1510</v>
      </c>
      <c r="E346" s="19" t="s">
        <v>1511</v>
      </c>
      <c r="F346" s="19" t="s">
        <v>30</v>
      </c>
      <c r="G346" s="19" t="s">
        <v>1512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9" t="s">
        <v>242</v>
      </c>
      <c r="B347" s="19">
        <v>1.0</v>
      </c>
      <c r="C347" s="19" t="s">
        <v>1513</v>
      </c>
      <c r="D347" s="19" t="s">
        <v>1514</v>
      </c>
      <c r="E347" s="19" t="s">
        <v>1515</v>
      </c>
      <c r="F347" s="19" t="s">
        <v>30</v>
      </c>
      <c r="G347" s="19" t="s">
        <v>1516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9" t="s">
        <v>242</v>
      </c>
      <c r="B348" s="19">
        <v>2.0</v>
      </c>
      <c r="C348" s="19" t="s">
        <v>1517</v>
      </c>
      <c r="D348" s="19" t="s">
        <v>1518</v>
      </c>
      <c r="E348" s="19" t="s">
        <v>1519</v>
      </c>
      <c r="F348" s="19" t="s">
        <v>30</v>
      </c>
      <c r="G348" s="19" t="s">
        <v>1520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9" t="s">
        <v>242</v>
      </c>
      <c r="B349" s="19">
        <v>3.0</v>
      </c>
      <c r="C349" s="19" t="s">
        <v>1521</v>
      </c>
      <c r="D349" s="19" t="s">
        <v>1522</v>
      </c>
      <c r="E349" s="19" t="s">
        <v>1523</v>
      </c>
      <c r="F349" s="19" t="s">
        <v>30</v>
      </c>
      <c r="G349" s="19" t="s">
        <v>1524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9" t="s">
        <v>242</v>
      </c>
      <c r="B350" s="19">
        <v>4.0</v>
      </c>
      <c r="C350" s="19" t="s">
        <v>1525</v>
      </c>
      <c r="D350" s="19" t="s">
        <v>1117</v>
      </c>
      <c r="E350" s="19" t="s">
        <v>1526</v>
      </c>
      <c r="F350" s="19" t="s">
        <v>30</v>
      </c>
      <c r="G350" s="19" t="s">
        <v>1527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9" t="s">
        <v>242</v>
      </c>
      <c r="B351" s="19">
        <v>5.0</v>
      </c>
      <c r="C351" s="19" t="s">
        <v>1528</v>
      </c>
      <c r="D351" s="19" t="s">
        <v>1529</v>
      </c>
      <c r="E351" s="19" t="s">
        <v>1530</v>
      </c>
      <c r="F351" s="19" t="s">
        <v>22</v>
      </c>
      <c r="G351" s="19" t="s">
        <v>1531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9" t="s">
        <v>242</v>
      </c>
      <c r="B352" s="19">
        <v>6.0</v>
      </c>
      <c r="C352" s="19" t="s">
        <v>1532</v>
      </c>
      <c r="D352" s="19" t="s">
        <v>1533</v>
      </c>
      <c r="E352" s="19" t="s">
        <v>1534</v>
      </c>
      <c r="F352" s="19" t="s">
        <v>30</v>
      </c>
      <c r="G352" s="19" t="s">
        <v>1535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9" t="s">
        <v>242</v>
      </c>
      <c r="B353" s="19">
        <v>7.0</v>
      </c>
      <c r="C353" s="19" t="s">
        <v>1536</v>
      </c>
      <c r="D353" s="19" t="s">
        <v>1537</v>
      </c>
      <c r="E353" s="19" t="s">
        <v>1538</v>
      </c>
      <c r="F353" s="19" t="s">
        <v>22</v>
      </c>
      <c r="G353" s="19" t="s">
        <v>1539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9" t="s">
        <v>242</v>
      </c>
      <c r="B354" s="19">
        <v>8.0</v>
      </c>
      <c r="C354" s="19" t="s">
        <v>1540</v>
      </c>
      <c r="D354" s="19" t="s">
        <v>1541</v>
      </c>
      <c r="E354" s="19" t="s">
        <v>1542</v>
      </c>
      <c r="F354" s="19" t="s">
        <v>30</v>
      </c>
      <c r="G354" s="19" t="s">
        <v>1543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9" t="s">
        <v>242</v>
      </c>
      <c r="B355" s="19">
        <v>9.0</v>
      </c>
      <c r="C355" s="19" t="s">
        <v>1544</v>
      </c>
      <c r="D355" s="19" t="s">
        <v>1545</v>
      </c>
      <c r="E355" s="19" t="s">
        <v>1546</v>
      </c>
      <c r="F355" s="19" t="s">
        <v>30</v>
      </c>
      <c r="G355" s="19" t="s">
        <v>1547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9" t="s">
        <v>242</v>
      </c>
      <c r="B356" s="19">
        <v>10.0</v>
      </c>
      <c r="C356" s="19" t="s">
        <v>1550</v>
      </c>
      <c r="D356" s="19" t="s">
        <v>1551</v>
      </c>
      <c r="E356" s="19" t="s">
        <v>1552</v>
      </c>
      <c r="F356" s="19" t="s">
        <v>30</v>
      </c>
      <c r="G356" s="19" t="s">
        <v>1554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9" t="s">
        <v>242</v>
      </c>
      <c r="B357" s="19">
        <v>11.0</v>
      </c>
      <c r="C357" s="19" t="s">
        <v>1555</v>
      </c>
      <c r="D357" s="19" t="s">
        <v>883</v>
      </c>
      <c r="E357" s="19" t="s">
        <v>1556</v>
      </c>
      <c r="F357" s="19" t="s">
        <v>30</v>
      </c>
      <c r="G357" s="19" t="s">
        <v>1557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9" t="s">
        <v>242</v>
      </c>
      <c r="B358" s="19">
        <v>12.0</v>
      </c>
      <c r="C358" s="19" t="s">
        <v>1559</v>
      </c>
      <c r="D358" s="19" t="s">
        <v>1560</v>
      </c>
      <c r="E358" s="19" t="s">
        <v>1561</v>
      </c>
      <c r="F358" s="19" t="s">
        <v>22</v>
      </c>
      <c r="G358" s="19" t="s">
        <v>1562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9" t="s">
        <v>242</v>
      </c>
      <c r="B359" s="19">
        <v>13.0</v>
      </c>
      <c r="C359" s="19" t="s">
        <v>1563</v>
      </c>
      <c r="D359" s="19" t="s">
        <v>1564</v>
      </c>
      <c r="E359" s="19" t="s">
        <v>1565</v>
      </c>
      <c r="F359" s="19" t="s">
        <v>22</v>
      </c>
      <c r="G359" s="19" t="s">
        <v>1566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9" t="s">
        <v>242</v>
      </c>
      <c r="B360" s="19">
        <v>14.0</v>
      </c>
      <c r="C360" s="19" t="s">
        <v>1567</v>
      </c>
      <c r="D360" s="19" t="s">
        <v>1568</v>
      </c>
      <c r="E360" s="19" t="s">
        <v>1569</v>
      </c>
      <c r="F360" s="19" t="s">
        <v>22</v>
      </c>
      <c r="G360" s="19" t="s">
        <v>1570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9" t="s">
        <v>242</v>
      </c>
      <c r="B361" s="19">
        <v>15.0</v>
      </c>
      <c r="C361" s="19" t="s">
        <v>1571</v>
      </c>
      <c r="D361" s="19" t="s">
        <v>1572</v>
      </c>
      <c r="E361" s="19" t="s">
        <v>1573</v>
      </c>
      <c r="F361" s="19" t="s">
        <v>30</v>
      </c>
      <c r="G361" s="19" t="s">
        <v>1574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9" t="s">
        <v>242</v>
      </c>
      <c r="B362" s="19">
        <v>16.0</v>
      </c>
      <c r="C362" s="19" t="s">
        <v>1575</v>
      </c>
      <c r="D362" s="19" t="s">
        <v>1576</v>
      </c>
      <c r="E362" s="19" t="s">
        <v>1577</v>
      </c>
      <c r="F362" s="19" t="s">
        <v>22</v>
      </c>
      <c r="G362" s="19" t="s">
        <v>1578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9" t="s">
        <v>242</v>
      </c>
      <c r="B363" s="19">
        <v>17.0</v>
      </c>
      <c r="C363" s="19" t="s">
        <v>1579</v>
      </c>
      <c r="D363" s="19" t="s">
        <v>1580</v>
      </c>
      <c r="E363" s="19" t="s">
        <v>1581</v>
      </c>
      <c r="F363" s="19" t="s">
        <v>22</v>
      </c>
      <c r="G363" s="19" t="s">
        <v>1582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9" t="s">
        <v>242</v>
      </c>
      <c r="B364" s="19">
        <v>18.0</v>
      </c>
      <c r="C364" s="19" t="s">
        <v>1583</v>
      </c>
      <c r="D364" s="19" t="s">
        <v>1584</v>
      </c>
      <c r="E364" s="19" t="s">
        <v>1585</v>
      </c>
      <c r="F364" s="19" t="s">
        <v>22</v>
      </c>
      <c r="G364" s="19" t="s">
        <v>1586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9" t="s">
        <v>242</v>
      </c>
      <c r="B365" s="19">
        <v>19.0</v>
      </c>
      <c r="C365" s="19" t="s">
        <v>1587</v>
      </c>
      <c r="D365" s="19" t="s">
        <v>1588</v>
      </c>
      <c r="E365" s="19" t="s">
        <v>1589</v>
      </c>
      <c r="F365" s="19" t="s">
        <v>30</v>
      </c>
      <c r="G365" s="19" t="s">
        <v>1590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9" t="s">
        <v>242</v>
      </c>
      <c r="B366" s="19">
        <v>20.0</v>
      </c>
      <c r="C366" s="19" t="s">
        <v>1591</v>
      </c>
      <c r="D366" s="19" t="s">
        <v>1592</v>
      </c>
      <c r="E366" s="19" t="s">
        <v>1593</v>
      </c>
      <c r="F366" s="19" t="s">
        <v>30</v>
      </c>
      <c r="G366" s="19" t="s">
        <v>1594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9" t="s">
        <v>242</v>
      </c>
      <c r="B367" s="19">
        <v>21.0</v>
      </c>
      <c r="C367" s="19" t="s">
        <v>1595</v>
      </c>
      <c r="D367" s="19" t="s">
        <v>1596</v>
      </c>
      <c r="E367" s="19" t="s">
        <v>1597</v>
      </c>
      <c r="F367" s="19" t="s">
        <v>22</v>
      </c>
      <c r="G367" s="19" t="s">
        <v>1598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9" t="s">
        <v>242</v>
      </c>
      <c r="B368" s="19">
        <v>22.0</v>
      </c>
      <c r="C368" s="19" t="s">
        <v>1599</v>
      </c>
      <c r="D368" s="19" t="s">
        <v>1600</v>
      </c>
      <c r="E368" s="19" t="s">
        <v>1601</v>
      </c>
      <c r="F368" s="19" t="s">
        <v>30</v>
      </c>
      <c r="G368" s="19" t="s">
        <v>1602</v>
      </c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9" t="s">
        <v>242</v>
      </c>
      <c r="B369" s="19">
        <v>23.0</v>
      </c>
      <c r="C369" s="19" t="s">
        <v>1603</v>
      </c>
      <c r="D369" s="19" t="s">
        <v>168</v>
      </c>
      <c r="E369" s="19" t="s">
        <v>1604</v>
      </c>
      <c r="F369" s="19" t="s">
        <v>30</v>
      </c>
      <c r="G369" s="19" t="s">
        <v>1605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9" t="s">
        <v>242</v>
      </c>
      <c r="B370" s="19">
        <v>24.0</v>
      </c>
      <c r="C370" s="19" t="s">
        <v>1606</v>
      </c>
      <c r="D370" s="19" t="s">
        <v>1607</v>
      </c>
      <c r="E370" s="19" t="s">
        <v>1608</v>
      </c>
      <c r="F370" s="19" t="s">
        <v>30</v>
      </c>
      <c r="G370" s="19" t="s">
        <v>1609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9" t="s">
        <v>242</v>
      </c>
      <c r="B371" s="19">
        <v>25.0</v>
      </c>
      <c r="C371" s="19" t="s">
        <v>1610</v>
      </c>
      <c r="D371" s="19" t="s">
        <v>1611</v>
      </c>
      <c r="E371" s="19" t="s">
        <v>1612</v>
      </c>
      <c r="F371" s="19" t="s">
        <v>22</v>
      </c>
      <c r="G371" s="19" t="s">
        <v>1613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9" t="s">
        <v>242</v>
      </c>
      <c r="B372" s="19">
        <v>26.0</v>
      </c>
      <c r="C372" s="19" t="s">
        <v>1614</v>
      </c>
      <c r="D372" s="19" t="s">
        <v>1615</v>
      </c>
      <c r="E372" s="19" t="s">
        <v>1616</v>
      </c>
      <c r="F372" s="19" t="s">
        <v>22</v>
      </c>
      <c r="G372" s="19" t="s">
        <v>1617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9" t="s">
        <v>242</v>
      </c>
      <c r="B373" s="19">
        <v>27.0</v>
      </c>
      <c r="C373" s="19" t="s">
        <v>1618</v>
      </c>
      <c r="D373" s="19" t="s">
        <v>1619</v>
      </c>
      <c r="E373" s="19" t="s">
        <v>1620</v>
      </c>
      <c r="F373" s="19" t="s">
        <v>30</v>
      </c>
      <c r="G373" s="19" t="s">
        <v>1621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9" t="s">
        <v>242</v>
      </c>
      <c r="B374" s="19">
        <v>28.0</v>
      </c>
      <c r="C374" s="19" t="s">
        <v>1622</v>
      </c>
      <c r="D374" s="19" t="s">
        <v>1623</v>
      </c>
      <c r="E374" s="19" t="s">
        <v>1624</v>
      </c>
      <c r="F374" s="19" t="s">
        <v>22</v>
      </c>
      <c r="G374" s="19" t="s">
        <v>1625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9" t="s">
        <v>242</v>
      </c>
      <c r="B375" s="19">
        <v>29.0</v>
      </c>
      <c r="C375" s="19" t="s">
        <v>1626</v>
      </c>
      <c r="D375" s="19" t="s">
        <v>1627</v>
      </c>
      <c r="E375" s="19" t="s">
        <v>1628</v>
      </c>
      <c r="F375" s="19" t="s">
        <v>30</v>
      </c>
      <c r="G375" s="19" t="s">
        <v>1629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9" t="s">
        <v>242</v>
      </c>
      <c r="B376" s="19">
        <v>30.0</v>
      </c>
      <c r="C376" s="19" t="s">
        <v>1630</v>
      </c>
      <c r="D376" s="19" t="s">
        <v>1631</v>
      </c>
      <c r="E376" s="19" t="s">
        <v>1632</v>
      </c>
      <c r="F376" s="19" t="s">
        <v>30</v>
      </c>
      <c r="G376" s="19" t="s">
        <v>1633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9" t="s">
        <v>242</v>
      </c>
      <c r="B377" s="19">
        <v>31.0</v>
      </c>
      <c r="C377" s="19" t="s">
        <v>1637</v>
      </c>
      <c r="D377" s="19" t="s">
        <v>1638</v>
      </c>
      <c r="E377" s="19" t="s">
        <v>1639</v>
      </c>
      <c r="F377" s="19" t="s">
        <v>22</v>
      </c>
      <c r="G377" s="19" t="s">
        <v>1640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9" t="s">
        <v>242</v>
      </c>
      <c r="B378" s="19">
        <v>32.0</v>
      </c>
      <c r="C378" s="19" t="s">
        <v>1641</v>
      </c>
      <c r="D378" s="19" t="s">
        <v>1642</v>
      </c>
      <c r="E378" s="19" t="s">
        <v>1643</v>
      </c>
      <c r="F378" s="19" t="s">
        <v>22</v>
      </c>
      <c r="G378" s="19" t="s">
        <v>1644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1.13"/>
    <col customWidth="1" min="4" max="4" width="20.38"/>
    <col customWidth="1" min="5" max="27" width="11.13"/>
  </cols>
  <sheetData>
    <row r="1" ht="15.75" customHeight="1">
      <c r="A1" s="1"/>
      <c r="B1" s="4" t="s">
        <v>1</v>
      </c>
      <c r="C1" s="7"/>
      <c r="D1" s="7"/>
      <c r="E1" s="7"/>
      <c r="F1" s="7"/>
      <c r="G1" s="7"/>
      <c r="H1" s="8"/>
    </row>
    <row r="2" ht="15.75" customHeight="1">
      <c r="A2" s="9"/>
      <c r="B2" s="12" t="s">
        <v>9</v>
      </c>
      <c r="C2" s="7"/>
      <c r="D2" s="7"/>
      <c r="E2" s="7"/>
      <c r="F2" s="7"/>
      <c r="G2" s="7"/>
      <c r="H2" s="8"/>
    </row>
    <row r="3" ht="15.75" customHeight="1">
      <c r="A3" s="1"/>
      <c r="B3" s="4" t="s">
        <v>13</v>
      </c>
      <c r="C3" s="7"/>
      <c r="D3" s="7"/>
      <c r="E3" s="7"/>
      <c r="F3" s="7"/>
      <c r="G3" s="7"/>
      <c r="H3" s="8"/>
    </row>
    <row r="4" ht="15.75" customHeight="1">
      <c r="A4" s="14"/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6" t="s">
        <v>8</v>
      </c>
      <c r="I4" s="23" t="str">
        <f t="shared" ref="I4:I33" si="1">A5&amp;","&amp;C5&amp;" "&amp;((B5))&amp;" "&amp;E5</f>
        <v>ESP1A,陳凱樂 1 Kyle</v>
      </c>
    </row>
    <row r="5" ht="15.75" customHeight="1">
      <c r="A5" s="20" t="s">
        <v>18</v>
      </c>
      <c r="B5" s="22">
        <v>1.0</v>
      </c>
      <c r="C5" s="22" t="s">
        <v>19</v>
      </c>
      <c r="D5" s="22" t="s">
        <v>20</v>
      </c>
      <c r="E5" s="22" t="s">
        <v>35</v>
      </c>
      <c r="F5" s="22" t="s">
        <v>22</v>
      </c>
      <c r="G5" s="22" t="s">
        <v>23</v>
      </c>
      <c r="I5" s="23" t="str">
        <f t="shared" si="1"/>
        <v>ESP1A,陳嘉希 2 Carly</v>
      </c>
    </row>
    <row r="6" ht="15.75" customHeight="1">
      <c r="A6" s="20" t="s">
        <v>18</v>
      </c>
      <c r="B6" s="22">
        <v>2.0</v>
      </c>
      <c r="C6" s="22" t="s">
        <v>32</v>
      </c>
      <c r="D6" s="22" t="s">
        <v>33</v>
      </c>
      <c r="E6" s="22" t="s">
        <v>38</v>
      </c>
      <c r="F6" s="22" t="s">
        <v>30</v>
      </c>
      <c r="G6" s="22" t="s">
        <v>36</v>
      </c>
      <c r="I6" s="23" t="str">
        <f t="shared" si="1"/>
        <v>ESP1A,陳柏軒 3 Ricky</v>
      </c>
    </row>
    <row r="7" ht="15.75" customHeight="1">
      <c r="A7" s="20" t="s">
        <v>18</v>
      </c>
      <c r="B7" s="22">
        <v>3.0</v>
      </c>
      <c r="C7" s="22" t="s">
        <v>42</v>
      </c>
      <c r="D7" s="22" t="s">
        <v>43</v>
      </c>
      <c r="E7" s="22" t="s">
        <v>45</v>
      </c>
      <c r="F7" s="22" t="s">
        <v>22</v>
      </c>
      <c r="G7" s="22" t="s">
        <v>46</v>
      </c>
      <c r="I7" s="23" t="str">
        <f t="shared" si="1"/>
        <v>ESP1A,陳永宸 4 Vinson</v>
      </c>
    </row>
    <row r="8" ht="15.75" customHeight="1">
      <c r="A8" s="20" t="s">
        <v>18</v>
      </c>
      <c r="B8" s="22">
        <v>4.0</v>
      </c>
      <c r="C8" s="22" t="s">
        <v>48</v>
      </c>
      <c r="D8" s="22" t="s">
        <v>51</v>
      </c>
      <c r="E8" s="22" t="s">
        <v>54</v>
      </c>
      <c r="F8" s="22" t="s">
        <v>22</v>
      </c>
      <c r="G8" s="22" t="s">
        <v>56</v>
      </c>
      <c r="I8" s="23" t="str">
        <f t="shared" si="1"/>
        <v>ESP1A,鄭鎧恩 5 Phoebe</v>
      </c>
    </row>
    <row r="9" ht="15.75" customHeight="1">
      <c r="A9" s="20" t="s">
        <v>18</v>
      </c>
      <c r="B9" s="22">
        <v>5.0</v>
      </c>
      <c r="C9" s="22" t="s">
        <v>59</v>
      </c>
      <c r="D9" s="22" t="s">
        <v>60</v>
      </c>
      <c r="E9" s="22" t="s">
        <v>62</v>
      </c>
      <c r="F9" s="22" t="s">
        <v>30</v>
      </c>
      <c r="G9" s="22" t="s">
        <v>64</v>
      </c>
      <c r="I9" s="23" t="str">
        <f t="shared" si="1"/>
        <v>ESP1A,張汐堯 6 Priscilla</v>
      </c>
    </row>
    <row r="10" ht="15.75" customHeight="1">
      <c r="A10" s="20" t="s">
        <v>18</v>
      </c>
      <c r="B10" s="22">
        <v>6.0</v>
      </c>
      <c r="C10" s="22" t="s">
        <v>67</v>
      </c>
      <c r="D10" s="22" t="s">
        <v>70</v>
      </c>
      <c r="E10" s="22" t="s">
        <v>71</v>
      </c>
      <c r="F10" s="22" t="s">
        <v>30</v>
      </c>
      <c r="G10" s="22" t="s">
        <v>73</v>
      </c>
      <c r="I10" s="23" t="str">
        <f t="shared" si="1"/>
        <v>ESP1A,張筠甯 7 Lilian</v>
      </c>
    </row>
    <row r="11" ht="15.75" customHeight="1">
      <c r="A11" s="20" t="s">
        <v>18</v>
      </c>
      <c r="B11" s="22">
        <v>7.0</v>
      </c>
      <c r="C11" s="22" t="s">
        <v>77</v>
      </c>
      <c r="D11" s="22" t="s">
        <v>66</v>
      </c>
      <c r="E11" s="22" t="s">
        <v>78</v>
      </c>
      <c r="F11" s="22" t="s">
        <v>30</v>
      </c>
      <c r="G11" s="22" t="s">
        <v>80</v>
      </c>
      <c r="I11" s="23" t="str">
        <f t="shared" si="1"/>
        <v>ESP1A,張舜宇 8 Sonia</v>
      </c>
    </row>
    <row r="12" ht="15.75" customHeight="1">
      <c r="A12" s="20" t="s">
        <v>18</v>
      </c>
      <c r="B12" s="22">
        <v>8.0</v>
      </c>
      <c r="C12" s="22" t="s">
        <v>82</v>
      </c>
      <c r="D12" s="22" t="s">
        <v>83</v>
      </c>
      <c r="E12" s="22" t="s">
        <v>84</v>
      </c>
      <c r="F12" s="22" t="s">
        <v>30</v>
      </c>
      <c r="G12" s="22" t="s">
        <v>86</v>
      </c>
      <c r="I12" s="23" t="str">
        <f t="shared" si="1"/>
        <v>ESP1A,蔡柏炎 9 Liam</v>
      </c>
    </row>
    <row r="13" ht="15.75" customHeight="1">
      <c r="A13" s="20" t="s">
        <v>18</v>
      </c>
      <c r="B13" s="22">
        <v>9.0</v>
      </c>
      <c r="C13" s="22" t="s">
        <v>89</v>
      </c>
      <c r="D13" s="22" t="s">
        <v>90</v>
      </c>
      <c r="E13" s="22" t="s">
        <v>92</v>
      </c>
      <c r="F13" s="22" t="s">
        <v>22</v>
      </c>
      <c r="G13" s="22" t="s">
        <v>94</v>
      </c>
      <c r="I13" s="23" t="str">
        <f t="shared" si="1"/>
        <v>ESP1A,姚芯玥 10 Kiki</v>
      </c>
    </row>
    <row r="14" ht="15.75" customHeight="1">
      <c r="A14" s="20" t="s">
        <v>18</v>
      </c>
      <c r="B14" s="22">
        <v>10.0</v>
      </c>
      <c r="C14" s="35" t="s">
        <v>101</v>
      </c>
      <c r="D14" s="22" t="s">
        <v>103</v>
      </c>
      <c r="E14" s="22" t="s">
        <v>104</v>
      </c>
      <c r="F14" s="35" t="s">
        <v>30</v>
      </c>
      <c r="G14" s="22" t="s">
        <v>106</v>
      </c>
      <c r="I14" s="23" t="str">
        <f t="shared" si="1"/>
        <v>ESP1A,江沂蔓 11 Helga</v>
      </c>
    </row>
    <row r="15" ht="15.75" customHeight="1">
      <c r="A15" s="20" t="s">
        <v>18</v>
      </c>
      <c r="B15" s="22">
        <v>11.0</v>
      </c>
      <c r="C15" s="22" t="s">
        <v>108</v>
      </c>
      <c r="D15" s="22" t="s">
        <v>110</v>
      </c>
      <c r="E15" s="22" t="s">
        <v>112</v>
      </c>
      <c r="F15" s="22" t="s">
        <v>30</v>
      </c>
      <c r="G15" s="22" t="s">
        <v>116</v>
      </c>
      <c r="I15" s="23" t="str">
        <f t="shared" si="1"/>
        <v>ESP1A,黎樂曦 12 Hayden</v>
      </c>
    </row>
    <row r="16" ht="15.75" customHeight="1">
      <c r="A16" s="20" t="s">
        <v>18</v>
      </c>
      <c r="B16" s="22">
        <v>12.0</v>
      </c>
      <c r="C16" s="22" t="s">
        <v>122</v>
      </c>
      <c r="D16" s="22" t="s">
        <v>123</v>
      </c>
      <c r="E16" s="22" t="s">
        <v>125</v>
      </c>
      <c r="F16" s="22" t="s">
        <v>22</v>
      </c>
      <c r="G16" s="22" t="s">
        <v>127</v>
      </c>
      <c r="I16" s="23" t="str">
        <f t="shared" si="1"/>
        <v>ESP1A,林靜雅 13 Arya</v>
      </c>
    </row>
    <row r="17" ht="15.75" customHeight="1">
      <c r="A17" s="20" t="s">
        <v>18</v>
      </c>
      <c r="B17" s="22">
        <v>13.0</v>
      </c>
      <c r="C17" s="22" t="s">
        <v>129</v>
      </c>
      <c r="D17" s="22" t="s">
        <v>130</v>
      </c>
      <c r="E17" s="22" t="s">
        <v>133</v>
      </c>
      <c r="F17" s="22" t="s">
        <v>30</v>
      </c>
      <c r="G17" s="22" t="s">
        <v>135</v>
      </c>
      <c r="I17" s="23" t="str">
        <f t="shared" si="1"/>
        <v>ESP1A,林一諾 14 Promise</v>
      </c>
    </row>
    <row r="18" ht="15.75" customHeight="1">
      <c r="A18" s="20" t="s">
        <v>18</v>
      </c>
      <c r="B18" s="22">
        <v>14.0</v>
      </c>
      <c r="C18" s="22" t="s">
        <v>143</v>
      </c>
      <c r="D18" s="22" t="s">
        <v>144</v>
      </c>
      <c r="E18" s="22" t="s">
        <v>146</v>
      </c>
      <c r="F18" s="22" t="s">
        <v>22</v>
      </c>
      <c r="G18" s="22" t="s">
        <v>147</v>
      </c>
      <c r="I18" s="23" t="str">
        <f t="shared" si="1"/>
        <v>ESP1A,林潁喬 15 Gubee</v>
      </c>
    </row>
    <row r="19" ht="15.75" customHeight="1">
      <c r="A19" s="20" t="s">
        <v>18</v>
      </c>
      <c r="B19" s="22">
        <v>15.0</v>
      </c>
      <c r="C19" s="22" t="s">
        <v>153</v>
      </c>
      <c r="D19" s="22" t="s">
        <v>154</v>
      </c>
      <c r="E19" s="22" t="s">
        <v>156</v>
      </c>
      <c r="F19" s="22" t="s">
        <v>30</v>
      </c>
      <c r="G19" s="22" t="s">
        <v>160</v>
      </c>
      <c r="I19" s="23" t="str">
        <f t="shared" si="1"/>
        <v>ESP1A,梁曦臣 16 Hayson</v>
      </c>
    </row>
    <row r="20" ht="15.75" customHeight="1">
      <c r="A20" s="20" t="s">
        <v>18</v>
      </c>
      <c r="B20" s="22">
        <v>16.0</v>
      </c>
      <c r="C20" s="22" t="s">
        <v>167</v>
      </c>
      <c r="D20" s="22" t="s">
        <v>168</v>
      </c>
      <c r="E20" s="22" t="s">
        <v>169</v>
      </c>
      <c r="F20" s="22" t="s">
        <v>22</v>
      </c>
      <c r="G20" s="22" t="s">
        <v>171</v>
      </c>
      <c r="I20" s="23" t="str">
        <f t="shared" si="1"/>
        <v>ESP1A,梁晧政 17 Edan</v>
      </c>
    </row>
    <row r="21" ht="15.75" customHeight="1">
      <c r="A21" s="20" t="s">
        <v>18</v>
      </c>
      <c r="B21" s="22">
        <v>17.0</v>
      </c>
      <c r="C21" s="22" t="s">
        <v>176</v>
      </c>
      <c r="D21" s="22" t="s">
        <v>177</v>
      </c>
      <c r="E21" s="22" t="s">
        <v>180</v>
      </c>
      <c r="F21" s="22" t="s">
        <v>22</v>
      </c>
      <c r="G21" s="22" t="s">
        <v>192</v>
      </c>
      <c r="I21" s="23" t="str">
        <f t="shared" si="1"/>
        <v>ESP1A,廖焯軒 18 Hinson</v>
      </c>
    </row>
    <row r="22" ht="15.75" customHeight="1">
      <c r="A22" s="20" t="s">
        <v>18</v>
      </c>
      <c r="B22" s="22">
        <v>18.0</v>
      </c>
      <c r="C22" s="22" t="s">
        <v>198</v>
      </c>
      <c r="D22" s="22" t="s">
        <v>202</v>
      </c>
      <c r="E22" s="22" t="s">
        <v>204</v>
      </c>
      <c r="F22" s="22" t="s">
        <v>22</v>
      </c>
      <c r="G22" s="22" t="s">
        <v>207</v>
      </c>
      <c r="I22" s="23" t="str">
        <f t="shared" si="1"/>
        <v>ESP1A,龍泓諾 19 Marcus</v>
      </c>
    </row>
    <row r="23" ht="15.75" customHeight="1">
      <c r="A23" s="20" t="s">
        <v>18</v>
      </c>
      <c r="B23" s="22">
        <v>19.0</v>
      </c>
      <c r="C23" s="22" t="s">
        <v>212</v>
      </c>
      <c r="D23" s="22" t="s">
        <v>213</v>
      </c>
      <c r="E23" s="22" t="s">
        <v>215</v>
      </c>
      <c r="F23" s="22" t="s">
        <v>22</v>
      </c>
      <c r="G23" s="22" t="s">
        <v>216</v>
      </c>
      <c r="I23" s="23" t="str">
        <f t="shared" si="1"/>
        <v>ESP1A,勞雨蔓 20 Euna</v>
      </c>
    </row>
    <row r="24" ht="15.75" customHeight="1">
      <c r="A24" s="20" t="s">
        <v>18</v>
      </c>
      <c r="B24" s="22">
        <v>20.0</v>
      </c>
      <c r="C24" s="22" t="s">
        <v>221</v>
      </c>
      <c r="D24" s="22" t="s">
        <v>225</v>
      </c>
      <c r="E24" s="22" t="s">
        <v>226</v>
      </c>
      <c r="F24" s="22" t="s">
        <v>30</v>
      </c>
      <c r="G24" s="22" t="s">
        <v>229</v>
      </c>
      <c r="I24" s="23" t="str">
        <f t="shared" si="1"/>
        <v>ESP1A,麥頌茵 21 Elly</v>
      </c>
    </row>
    <row r="25" ht="15.75" customHeight="1">
      <c r="A25" s="20" t="s">
        <v>18</v>
      </c>
      <c r="B25" s="22">
        <v>21.0</v>
      </c>
      <c r="C25" s="22" t="s">
        <v>235</v>
      </c>
      <c r="D25" s="22" t="s">
        <v>237</v>
      </c>
      <c r="E25" s="22" t="s">
        <v>238</v>
      </c>
      <c r="F25" s="22" t="s">
        <v>30</v>
      </c>
      <c r="G25" s="22" t="s">
        <v>241</v>
      </c>
      <c r="I25" s="23" t="str">
        <f t="shared" si="1"/>
        <v>ESP1A,吳思雅 22 Sia</v>
      </c>
    </row>
    <row r="26" ht="15.75" customHeight="1">
      <c r="A26" s="20" t="s">
        <v>18</v>
      </c>
      <c r="B26" s="22">
        <v>22.0</v>
      </c>
      <c r="C26" s="22" t="s">
        <v>244</v>
      </c>
      <c r="D26" s="22" t="s">
        <v>246</v>
      </c>
      <c r="E26" s="22" t="s">
        <v>248</v>
      </c>
      <c r="F26" s="22" t="s">
        <v>30</v>
      </c>
      <c r="G26" s="22" t="s">
        <v>250</v>
      </c>
      <c r="I26" s="23" t="str">
        <f t="shared" si="1"/>
        <v>ESP1A,施蕎 23 Joanne</v>
      </c>
    </row>
    <row r="27" ht="15.75" customHeight="1">
      <c r="A27" s="20" t="s">
        <v>18</v>
      </c>
      <c r="B27" s="22">
        <v>23.0</v>
      </c>
      <c r="C27" s="22" t="s">
        <v>254</v>
      </c>
      <c r="D27" s="22" t="s">
        <v>255</v>
      </c>
      <c r="E27" s="22" t="s">
        <v>256</v>
      </c>
      <c r="F27" s="22" t="s">
        <v>30</v>
      </c>
      <c r="G27" s="22" t="s">
        <v>259</v>
      </c>
      <c r="I27" s="23" t="str">
        <f t="shared" si="1"/>
        <v>ESP1A,鄧芷悠 24 Yoyo</v>
      </c>
    </row>
    <row r="28" ht="15.75" customHeight="1">
      <c r="A28" s="20" t="s">
        <v>18</v>
      </c>
      <c r="B28" s="22">
        <v>24.0</v>
      </c>
      <c r="C28" s="22" t="s">
        <v>262</v>
      </c>
      <c r="D28" s="22" t="s">
        <v>263</v>
      </c>
      <c r="E28" s="22" t="s">
        <v>265</v>
      </c>
      <c r="F28" s="22" t="s">
        <v>30</v>
      </c>
      <c r="G28" s="22" t="s">
        <v>266</v>
      </c>
      <c r="I28" s="23" t="str">
        <f t="shared" si="1"/>
        <v>ESP1A,黃睿宸 25 Lucas</v>
      </c>
    </row>
    <row r="29" ht="15.75" customHeight="1">
      <c r="A29" s="20" t="s">
        <v>18</v>
      </c>
      <c r="B29" s="22">
        <v>25.0</v>
      </c>
      <c r="C29" s="22" t="s">
        <v>269</v>
      </c>
      <c r="D29" s="22" t="s">
        <v>271</v>
      </c>
      <c r="E29" s="22" t="s">
        <v>273</v>
      </c>
      <c r="F29" s="22" t="s">
        <v>22</v>
      </c>
      <c r="G29" s="22" t="s">
        <v>276</v>
      </c>
      <c r="I29" s="23" t="str">
        <f t="shared" si="1"/>
        <v>ESP1A,王心悠 26 Senyo</v>
      </c>
    </row>
    <row r="30" ht="15.75" customHeight="1">
      <c r="A30" s="20" t="s">
        <v>18</v>
      </c>
      <c r="B30" s="22">
        <v>26.0</v>
      </c>
      <c r="C30" s="22" t="s">
        <v>280</v>
      </c>
      <c r="D30" s="22" t="s">
        <v>282</v>
      </c>
      <c r="E30" s="22" t="s">
        <v>283</v>
      </c>
      <c r="F30" s="22" t="s">
        <v>30</v>
      </c>
      <c r="G30" s="22" t="s">
        <v>287</v>
      </c>
      <c r="I30" s="23" t="str">
        <f t="shared" si="1"/>
        <v>ESP1A,黃語晴 27 Liya</v>
      </c>
    </row>
    <row r="31" ht="15.75" customHeight="1">
      <c r="A31" s="20" t="s">
        <v>18</v>
      </c>
      <c r="B31" s="22">
        <v>27.0</v>
      </c>
      <c r="C31" s="22" t="s">
        <v>289</v>
      </c>
      <c r="D31" s="22" t="s">
        <v>291</v>
      </c>
      <c r="E31" s="22" t="s">
        <v>294</v>
      </c>
      <c r="F31" s="22" t="s">
        <v>30</v>
      </c>
      <c r="G31" s="22" t="s">
        <v>296</v>
      </c>
      <c r="I31" s="23" t="str">
        <f t="shared" si="1"/>
        <v>ESP1A,胡家馨 28 Hannah</v>
      </c>
    </row>
    <row r="32" ht="15.75" customHeight="1">
      <c r="A32" s="20" t="s">
        <v>18</v>
      </c>
      <c r="B32" s="22">
        <v>28.0</v>
      </c>
      <c r="C32" s="22" t="s">
        <v>299</v>
      </c>
      <c r="D32" s="22" t="s">
        <v>301</v>
      </c>
      <c r="E32" s="22" t="s">
        <v>303</v>
      </c>
      <c r="F32" s="22" t="s">
        <v>30</v>
      </c>
      <c r="G32" s="22" t="s">
        <v>307</v>
      </c>
      <c r="I32" s="23" t="str">
        <f t="shared" si="1"/>
        <v>ESP1A,袁碩謙 29 Kevin</v>
      </c>
    </row>
    <row r="33" ht="15.75" customHeight="1">
      <c r="A33" s="20" t="s">
        <v>18</v>
      </c>
      <c r="B33" s="22">
        <v>29.0</v>
      </c>
      <c r="C33" s="39" t="s">
        <v>309</v>
      </c>
      <c r="D33" s="39" t="s">
        <v>310</v>
      </c>
      <c r="E33" s="39" t="s">
        <v>311</v>
      </c>
      <c r="F33" s="39" t="s">
        <v>22</v>
      </c>
      <c r="G33" s="22" t="s">
        <v>313</v>
      </c>
      <c r="I33" s="23" t="str">
        <f t="shared" si="1"/>
        <v>ESP1A,鄭舒文 30 Sophia</v>
      </c>
    </row>
    <row r="34" ht="15.75" customHeight="1">
      <c r="A34" s="20" t="s">
        <v>18</v>
      </c>
      <c r="B34" s="22">
        <v>30.0</v>
      </c>
      <c r="C34" s="22" t="s">
        <v>315</v>
      </c>
      <c r="D34" s="22" t="s">
        <v>316</v>
      </c>
      <c r="E34" s="22" t="s">
        <v>317</v>
      </c>
      <c r="F34" s="22" t="s">
        <v>30</v>
      </c>
      <c r="G34" s="22" t="s">
        <v>320</v>
      </c>
      <c r="I34" s="23" t="str">
        <f>A35&amp;","&amp;C35&amp;((B35))&amp;" "&amp;E35</f>
        <v>, M</v>
      </c>
    </row>
    <row r="35" ht="15.75" customHeight="1">
      <c r="A35" s="23"/>
      <c r="B35" s="23"/>
      <c r="C35" s="23"/>
      <c r="D35" s="23"/>
      <c r="E35" s="23" t="s">
        <v>22</v>
      </c>
      <c r="F35" s="23">
        <f>COUNTIF(F5:F34,"M")</f>
        <v>12</v>
      </c>
      <c r="G35" s="23" t="s">
        <v>30</v>
      </c>
      <c r="H35" s="23">
        <f>COUNTIF(F5:F34,"F")</f>
        <v>18</v>
      </c>
      <c r="I35" s="23"/>
    </row>
    <row r="36" ht="15.75" customHeight="1">
      <c r="A36" s="23"/>
      <c r="B36" s="23"/>
      <c r="C36" s="45"/>
      <c r="D36" s="45"/>
      <c r="E36" s="45"/>
      <c r="F36" s="45"/>
      <c r="G36" s="45"/>
      <c r="H36" s="45"/>
      <c r="I36" s="45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3:H3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1.13"/>
    <col customWidth="1" min="3" max="3" width="13.88"/>
    <col customWidth="1" min="4" max="4" width="24.75"/>
    <col customWidth="1" min="5" max="27" width="11.13"/>
  </cols>
  <sheetData>
    <row r="1" ht="15.75" customHeight="1">
      <c r="A1" s="2"/>
      <c r="B1" s="5" t="s">
        <v>2</v>
      </c>
      <c r="C1" s="7"/>
      <c r="D1" s="7"/>
      <c r="E1" s="7"/>
      <c r="F1" s="7"/>
      <c r="G1" s="7"/>
      <c r="H1" s="8"/>
    </row>
    <row r="2" ht="15.75" customHeight="1">
      <c r="A2" s="9"/>
      <c r="B2" s="12" t="s">
        <v>10</v>
      </c>
      <c r="C2" s="7"/>
      <c r="D2" s="7"/>
      <c r="E2" s="7"/>
      <c r="F2" s="7"/>
      <c r="G2" s="7"/>
      <c r="H2" s="8"/>
    </row>
    <row r="3" ht="15.75" customHeight="1">
      <c r="A3" s="1"/>
      <c r="B3" s="4" t="s">
        <v>16</v>
      </c>
      <c r="C3" s="7"/>
      <c r="D3" s="7"/>
      <c r="E3" s="7"/>
      <c r="F3" s="7"/>
      <c r="G3" s="7"/>
      <c r="H3" s="8"/>
    </row>
    <row r="4" ht="15.75" customHeight="1">
      <c r="A4" s="14"/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</row>
    <row r="5" ht="15.75" customHeight="1">
      <c r="A5" s="20" t="s">
        <v>24</v>
      </c>
      <c r="B5" s="22">
        <v>1.0</v>
      </c>
      <c r="C5" s="22" t="s">
        <v>27</v>
      </c>
      <c r="D5" s="22" t="s">
        <v>28</v>
      </c>
      <c r="E5" s="22" t="s">
        <v>29</v>
      </c>
      <c r="F5" s="22" t="s">
        <v>30</v>
      </c>
      <c r="G5" s="22" t="s">
        <v>31</v>
      </c>
      <c r="H5" s="23" t="str">
        <f t="shared" ref="H5:H35" si="1">A5&amp;","&amp;C5&amp;" "&amp;((B5))&amp;" "&amp;E5</f>
        <v>ESP1B,車雨欣 1 Jessica</v>
      </c>
    </row>
    <row r="6" ht="15.75" customHeight="1">
      <c r="A6" s="20" t="s">
        <v>24</v>
      </c>
      <c r="B6" s="22">
        <v>2.0</v>
      </c>
      <c r="C6" s="22" t="s">
        <v>39</v>
      </c>
      <c r="D6" s="22" t="s">
        <v>40</v>
      </c>
      <c r="E6" s="22" t="s">
        <v>41</v>
      </c>
      <c r="F6" s="22" t="s">
        <v>22</v>
      </c>
      <c r="G6" s="22" t="s">
        <v>44</v>
      </c>
      <c r="H6" s="23" t="str">
        <f t="shared" si="1"/>
        <v>ESP1B,植俊豪 2 Johnney</v>
      </c>
    </row>
    <row r="7" ht="15.75" customHeight="1">
      <c r="A7" s="20" t="s">
        <v>24</v>
      </c>
      <c r="B7" s="22">
        <v>3.0</v>
      </c>
      <c r="C7" s="22" t="s">
        <v>49</v>
      </c>
      <c r="D7" s="22" t="s">
        <v>52</v>
      </c>
      <c r="E7" s="22" t="s">
        <v>55</v>
      </c>
      <c r="F7" s="22" t="s">
        <v>22</v>
      </c>
      <c r="G7" s="22" t="s">
        <v>57</v>
      </c>
      <c r="H7" s="23" t="str">
        <f t="shared" si="1"/>
        <v>ESP1B,張軒瑋 3 Tavi</v>
      </c>
    </row>
    <row r="8" ht="15.75" customHeight="1">
      <c r="A8" s="20" t="s">
        <v>24</v>
      </c>
      <c r="B8" s="22">
        <v>4.0</v>
      </c>
      <c r="C8" s="22" t="s">
        <v>63</v>
      </c>
      <c r="D8" s="22" t="s">
        <v>66</v>
      </c>
      <c r="E8" s="22" t="s">
        <v>68</v>
      </c>
      <c r="F8" s="22" t="s">
        <v>30</v>
      </c>
      <c r="G8" s="22" t="s">
        <v>74</v>
      </c>
      <c r="H8" s="23" t="str">
        <f t="shared" si="1"/>
        <v>ESP1B,張梓媱 4 Katy</v>
      </c>
    </row>
    <row r="9" ht="15.75" customHeight="1">
      <c r="A9" s="20" t="s">
        <v>24</v>
      </c>
      <c r="B9" s="22">
        <v>5.0</v>
      </c>
      <c r="C9" s="22" t="s">
        <v>79</v>
      </c>
      <c r="D9" s="22" t="s">
        <v>81</v>
      </c>
      <c r="E9" s="22" t="s">
        <v>85</v>
      </c>
      <c r="F9" s="22" t="s">
        <v>30</v>
      </c>
      <c r="G9" s="22" t="s">
        <v>87</v>
      </c>
      <c r="H9" s="23" t="str">
        <f t="shared" si="1"/>
        <v>ESP1B,趙芷晴 5 Jill</v>
      </c>
    </row>
    <row r="10" ht="15.75" customHeight="1">
      <c r="A10" s="20" t="s">
        <v>24</v>
      </c>
      <c r="B10" s="22">
        <v>6.0</v>
      </c>
      <c r="C10" s="22" t="s">
        <v>96</v>
      </c>
      <c r="D10" s="22" t="s">
        <v>99</v>
      </c>
      <c r="E10" s="22" t="s">
        <v>102</v>
      </c>
      <c r="F10" s="22" t="s">
        <v>30</v>
      </c>
      <c r="G10" s="22" t="s">
        <v>105</v>
      </c>
      <c r="H10" s="23" t="str">
        <f t="shared" si="1"/>
        <v>ESP1B,趙允曦 6 Anna</v>
      </c>
    </row>
    <row r="11" ht="15.75" customHeight="1">
      <c r="A11" s="20" t="s">
        <v>24</v>
      </c>
      <c r="B11" s="22">
        <v>7.0</v>
      </c>
      <c r="C11" s="22" t="s">
        <v>107</v>
      </c>
      <c r="D11" s="22" t="s">
        <v>109</v>
      </c>
      <c r="E11" s="22" t="s">
        <v>113</v>
      </c>
      <c r="F11" s="22" t="s">
        <v>22</v>
      </c>
      <c r="G11" s="22" t="s">
        <v>118</v>
      </c>
      <c r="H11" s="23" t="str">
        <f t="shared" si="1"/>
        <v>ESP1B,蔡向堯 7 Eden</v>
      </c>
    </row>
    <row r="12" ht="15.75" customHeight="1">
      <c r="A12" s="20" t="s">
        <v>24</v>
      </c>
      <c r="B12" s="22">
        <v>8.0</v>
      </c>
      <c r="C12" s="22" t="s">
        <v>124</v>
      </c>
      <c r="D12" s="22" t="s">
        <v>126</v>
      </c>
      <c r="E12" s="22" t="s">
        <v>62</v>
      </c>
      <c r="F12" s="22" t="s">
        <v>30</v>
      </c>
      <c r="G12" s="22" t="s">
        <v>128</v>
      </c>
      <c r="H12" s="23" t="str">
        <f t="shared" si="1"/>
        <v>ESP1B,何恩言 8 Phoebe</v>
      </c>
    </row>
    <row r="13" ht="15.75" customHeight="1">
      <c r="A13" s="20" t="s">
        <v>24</v>
      </c>
      <c r="B13" s="22">
        <v>9.0</v>
      </c>
      <c r="C13" s="22" t="s">
        <v>138</v>
      </c>
      <c r="D13" s="22" t="s">
        <v>140</v>
      </c>
      <c r="E13" s="22" t="s">
        <v>142</v>
      </c>
      <c r="F13" s="22" t="s">
        <v>22</v>
      </c>
      <c r="G13" s="22" t="s">
        <v>145</v>
      </c>
      <c r="H13" s="23" t="str">
        <f t="shared" si="1"/>
        <v>ESP1B,洪頌恆 9 Rex</v>
      </c>
    </row>
    <row r="14" ht="15.75" customHeight="1">
      <c r="A14" s="20" t="s">
        <v>24</v>
      </c>
      <c r="B14" s="22">
        <v>10.0</v>
      </c>
      <c r="C14" s="22" t="s">
        <v>148</v>
      </c>
      <c r="D14" s="22" t="s">
        <v>149</v>
      </c>
      <c r="E14" s="22" t="s">
        <v>150</v>
      </c>
      <c r="F14" s="22" t="s">
        <v>30</v>
      </c>
      <c r="G14" s="22" t="s">
        <v>152</v>
      </c>
      <c r="H14" s="23" t="str">
        <f t="shared" si="1"/>
        <v>ESP1B,甄善潼 10 Sofia</v>
      </c>
    </row>
    <row r="15" ht="15.75" customHeight="1">
      <c r="A15" s="20" t="s">
        <v>24</v>
      </c>
      <c r="B15" s="22">
        <v>11.0</v>
      </c>
      <c r="C15" s="22" t="s">
        <v>158</v>
      </c>
      <c r="D15" s="22" t="s">
        <v>162</v>
      </c>
      <c r="E15" s="22" t="s">
        <v>164</v>
      </c>
      <c r="F15" s="22" t="s">
        <v>30</v>
      </c>
      <c r="G15" s="22" t="s">
        <v>165</v>
      </c>
      <c r="H15" s="23" t="str">
        <f t="shared" si="1"/>
        <v>ESP1B,姚洛琳 11 Rachel</v>
      </c>
    </row>
    <row r="16" ht="15.75" customHeight="1">
      <c r="A16" s="20" t="s">
        <v>24</v>
      </c>
      <c r="B16" s="22">
        <v>12.0</v>
      </c>
      <c r="C16" s="22" t="s">
        <v>170</v>
      </c>
      <c r="D16" s="22" t="s">
        <v>172</v>
      </c>
      <c r="E16" s="22" t="s">
        <v>173</v>
      </c>
      <c r="F16" s="22" t="s">
        <v>30</v>
      </c>
      <c r="G16" s="22" t="s">
        <v>174</v>
      </c>
      <c r="H16" s="23" t="str">
        <f t="shared" si="1"/>
        <v>ESP1B,高正曦 12 Hailey</v>
      </c>
    </row>
    <row r="17" ht="15.75" customHeight="1">
      <c r="A17" s="20" t="s">
        <v>24</v>
      </c>
      <c r="B17" s="22">
        <v>13.0</v>
      </c>
      <c r="C17" s="22" t="s">
        <v>178</v>
      </c>
      <c r="D17" s="22" t="s">
        <v>181</v>
      </c>
      <c r="E17" s="22" t="s">
        <v>183</v>
      </c>
      <c r="F17" s="22" t="s">
        <v>30</v>
      </c>
      <c r="G17" s="22" t="s">
        <v>187</v>
      </c>
      <c r="H17" s="23" t="str">
        <f t="shared" si="1"/>
        <v>ESP1B,關樂瀅 13 Grace</v>
      </c>
    </row>
    <row r="18" ht="15.75" customHeight="1">
      <c r="A18" s="20" t="s">
        <v>24</v>
      </c>
      <c r="B18" s="22">
        <v>14.0</v>
      </c>
      <c r="C18" s="22" t="s">
        <v>189</v>
      </c>
      <c r="D18" s="22" t="s">
        <v>190</v>
      </c>
      <c r="E18" s="22" t="s">
        <v>191</v>
      </c>
      <c r="F18" s="22" t="s">
        <v>22</v>
      </c>
      <c r="G18" s="22" t="s">
        <v>193</v>
      </c>
      <c r="H18" s="23" t="str">
        <f t="shared" si="1"/>
        <v>ESP1B,林子瑜 14 Jimmy</v>
      </c>
    </row>
    <row r="19" ht="15.75" customHeight="1">
      <c r="A19" s="20" t="s">
        <v>24</v>
      </c>
      <c r="B19" s="22">
        <v>15.0</v>
      </c>
      <c r="C19" s="22" t="s">
        <v>195</v>
      </c>
      <c r="D19" s="22" t="s">
        <v>197</v>
      </c>
      <c r="E19" s="22" t="s">
        <v>201</v>
      </c>
      <c r="F19" s="22" t="s">
        <v>30</v>
      </c>
      <c r="G19" s="22" t="s">
        <v>206</v>
      </c>
      <c r="H19" s="23" t="str">
        <f t="shared" si="1"/>
        <v>ESP1B,李奕言 15 Bella</v>
      </c>
    </row>
    <row r="20" ht="15.75" customHeight="1">
      <c r="A20" s="20" t="s">
        <v>24</v>
      </c>
      <c r="B20" s="22">
        <v>16.0</v>
      </c>
      <c r="C20" s="22" t="s">
        <v>209</v>
      </c>
      <c r="D20" s="22" t="s">
        <v>210</v>
      </c>
      <c r="E20" s="22" t="s">
        <v>211</v>
      </c>
      <c r="F20" s="22" t="s">
        <v>30</v>
      </c>
      <c r="G20" s="22" t="s">
        <v>214</v>
      </c>
      <c r="H20" s="23" t="str">
        <f t="shared" si="1"/>
        <v>ESP1B,李晨熙 16 Janice</v>
      </c>
    </row>
    <row r="21" ht="15.75" customHeight="1">
      <c r="A21" s="20" t="s">
        <v>24</v>
      </c>
      <c r="B21" s="22">
        <v>17.0</v>
      </c>
      <c r="C21" s="22" t="s">
        <v>217</v>
      </c>
      <c r="D21" s="22" t="s">
        <v>219</v>
      </c>
      <c r="E21" s="22" t="s">
        <v>220</v>
      </c>
      <c r="F21" s="22" t="s">
        <v>30</v>
      </c>
      <c r="G21" s="22" t="s">
        <v>223</v>
      </c>
      <c r="H21" s="23" t="str">
        <f t="shared" si="1"/>
        <v>ESP1B,梁樂菲 17 Kennis</v>
      </c>
    </row>
    <row r="22" ht="15.75" customHeight="1">
      <c r="A22" s="20" t="s">
        <v>24</v>
      </c>
      <c r="B22" s="22">
        <v>18.0</v>
      </c>
      <c r="C22" s="22" t="s">
        <v>228</v>
      </c>
      <c r="D22" s="22" t="s">
        <v>231</v>
      </c>
      <c r="E22" s="22" t="s">
        <v>233</v>
      </c>
      <c r="F22" s="22" t="s">
        <v>22</v>
      </c>
      <c r="G22" s="22" t="s">
        <v>236</v>
      </c>
      <c r="H22" s="23" t="str">
        <f t="shared" si="1"/>
        <v>ESP1B,梁宇皓 18 Horace</v>
      </c>
    </row>
    <row r="23" ht="15.75" customHeight="1">
      <c r="A23" s="20" t="s">
        <v>24</v>
      </c>
      <c r="B23" s="22">
        <v>19.0</v>
      </c>
      <c r="C23" s="39" t="s">
        <v>240</v>
      </c>
      <c r="D23" s="39" t="s">
        <v>243</v>
      </c>
      <c r="E23" s="39" t="s">
        <v>245</v>
      </c>
      <c r="F23" s="39" t="s">
        <v>30</v>
      </c>
      <c r="G23" s="42" t="s">
        <v>251</v>
      </c>
      <c r="H23" s="23" t="str">
        <f t="shared" si="1"/>
        <v>ESP1B,梁穎琳 19 Gloria</v>
      </c>
    </row>
    <row r="24" ht="15.75" customHeight="1">
      <c r="A24" s="20" t="s">
        <v>24</v>
      </c>
      <c r="B24" s="22">
        <v>20.0</v>
      </c>
      <c r="C24" s="22" t="s">
        <v>258</v>
      </c>
      <c r="D24" s="22" t="s">
        <v>260</v>
      </c>
      <c r="E24" s="22" t="s">
        <v>261</v>
      </c>
      <c r="F24" s="22" t="s">
        <v>30</v>
      </c>
      <c r="G24" s="22" t="s">
        <v>264</v>
      </c>
      <c r="H24" s="23" t="str">
        <f t="shared" si="1"/>
        <v>ESP1B,雷子琳 20 Lucy</v>
      </c>
    </row>
    <row r="25" ht="15.75" customHeight="1">
      <c r="A25" s="20" t="s">
        <v>24</v>
      </c>
      <c r="B25" s="22">
        <v>21.0</v>
      </c>
      <c r="C25" s="22" t="s">
        <v>268</v>
      </c>
      <c r="D25" s="22" t="s">
        <v>270</v>
      </c>
      <c r="E25" s="22" t="s">
        <v>272</v>
      </c>
      <c r="F25" s="22" t="s">
        <v>22</v>
      </c>
      <c r="G25" s="22" t="s">
        <v>275</v>
      </c>
      <c r="H25" s="23" t="str">
        <f t="shared" si="1"/>
        <v>ESP1B,呂文滔 21 Mantou</v>
      </c>
    </row>
    <row r="26" ht="15.75" customHeight="1">
      <c r="A26" s="20" t="s">
        <v>24</v>
      </c>
      <c r="B26" s="22">
        <v>22.0</v>
      </c>
      <c r="C26" s="22" t="s">
        <v>281</v>
      </c>
      <c r="D26" s="22" t="s">
        <v>284</v>
      </c>
      <c r="E26" s="22" t="s">
        <v>286</v>
      </c>
      <c r="F26" s="22" t="s">
        <v>22</v>
      </c>
      <c r="G26" s="22" t="s">
        <v>288</v>
      </c>
      <c r="H26" s="23" t="str">
        <f t="shared" si="1"/>
        <v>ESP1B,馬梓舜 22 Brendan</v>
      </c>
    </row>
    <row r="27" ht="15.75" customHeight="1">
      <c r="A27" s="20" t="s">
        <v>24</v>
      </c>
      <c r="B27" s="22">
        <v>23.0</v>
      </c>
      <c r="C27" s="22" t="s">
        <v>290</v>
      </c>
      <c r="D27" s="22" t="s">
        <v>292</v>
      </c>
      <c r="E27" s="22" t="s">
        <v>295</v>
      </c>
      <c r="F27" s="22" t="s">
        <v>30</v>
      </c>
      <c r="G27" s="22" t="s">
        <v>297</v>
      </c>
      <c r="H27" s="23" t="str">
        <f t="shared" si="1"/>
        <v>ESP1B,沈杺杺 23 Emma</v>
      </c>
    </row>
    <row r="28" ht="15.75" customHeight="1">
      <c r="A28" s="20" t="s">
        <v>24</v>
      </c>
      <c r="B28" s="22">
        <v>24.0</v>
      </c>
      <c r="C28" s="22" t="s">
        <v>302</v>
      </c>
      <c r="D28" s="22" t="s">
        <v>304</v>
      </c>
      <c r="E28" s="22" t="s">
        <v>306</v>
      </c>
      <c r="F28" s="22" t="s">
        <v>30</v>
      </c>
      <c r="G28" s="22" t="s">
        <v>314</v>
      </c>
      <c r="H28" s="23" t="str">
        <f t="shared" si="1"/>
        <v>ESP1B,史鈅楹 24 Bougie</v>
      </c>
    </row>
    <row r="29" ht="15.75" customHeight="1">
      <c r="A29" s="20" t="s">
        <v>24</v>
      </c>
      <c r="B29" s="22">
        <v>25.0</v>
      </c>
      <c r="C29" s="22" t="s">
        <v>319</v>
      </c>
      <c r="D29" s="22" t="s">
        <v>322</v>
      </c>
      <c r="E29" s="22" t="s">
        <v>323</v>
      </c>
      <c r="F29" s="22" t="s">
        <v>22</v>
      </c>
      <c r="G29" s="22" t="s">
        <v>325</v>
      </c>
      <c r="H29" s="23" t="str">
        <f t="shared" si="1"/>
        <v>ESP1B,余枋樺 25 Jarvis</v>
      </c>
    </row>
    <row r="30" ht="15.75" customHeight="1">
      <c r="A30" s="20" t="s">
        <v>24</v>
      </c>
      <c r="B30" s="22">
        <v>26.0</v>
      </c>
      <c r="C30" s="22" t="s">
        <v>328</v>
      </c>
      <c r="D30" s="22" t="s">
        <v>329</v>
      </c>
      <c r="E30" s="22" t="s">
        <v>330</v>
      </c>
      <c r="F30" s="22" t="s">
        <v>22</v>
      </c>
      <c r="G30" s="22" t="s">
        <v>331</v>
      </c>
      <c r="H30" s="23" t="str">
        <f t="shared" si="1"/>
        <v>ESP1B,黃政霖 26 Jayden</v>
      </c>
    </row>
    <row r="31" ht="15.75" customHeight="1">
      <c r="A31" s="20" t="s">
        <v>24</v>
      </c>
      <c r="B31" s="22">
        <v>27.0</v>
      </c>
      <c r="C31" s="22" t="s">
        <v>334</v>
      </c>
      <c r="D31" s="22" t="s">
        <v>336</v>
      </c>
      <c r="E31" s="22" t="s">
        <v>337</v>
      </c>
      <c r="F31" s="22" t="s">
        <v>30</v>
      </c>
      <c r="G31" s="22" t="s">
        <v>340</v>
      </c>
      <c r="H31" s="23" t="str">
        <f t="shared" si="1"/>
        <v>ESP1B,黃凱盈 27 Amber Wong</v>
      </c>
    </row>
    <row r="32" ht="15.75" customHeight="1">
      <c r="A32" s="20" t="s">
        <v>24</v>
      </c>
      <c r="B32" s="22">
        <v>28.0</v>
      </c>
      <c r="C32" s="22" t="s">
        <v>341</v>
      </c>
      <c r="D32" s="22" t="s">
        <v>342</v>
      </c>
      <c r="E32" s="22" t="s">
        <v>211</v>
      </c>
      <c r="F32" s="22" t="s">
        <v>30</v>
      </c>
      <c r="G32" s="22" t="s">
        <v>343</v>
      </c>
      <c r="H32" s="23" t="str">
        <f t="shared" si="1"/>
        <v>ESP1B,黃語昕 28 Janice</v>
      </c>
    </row>
    <row r="33" ht="15.75" customHeight="1">
      <c r="A33" s="20" t="s">
        <v>24</v>
      </c>
      <c r="B33" s="22">
        <v>29.0</v>
      </c>
      <c r="C33" s="22" t="s">
        <v>345</v>
      </c>
      <c r="D33" s="22" t="s">
        <v>348</v>
      </c>
      <c r="E33" s="22" t="s">
        <v>350</v>
      </c>
      <c r="F33" s="22" t="s">
        <v>22</v>
      </c>
      <c r="G33" s="22" t="s">
        <v>351</v>
      </c>
      <c r="H33" s="23" t="str">
        <f t="shared" si="1"/>
        <v>ESP1B,薛繁享 29 Nicholas</v>
      </c>
    </row>
    <row r="34" ht="15.75" customHeight="1">
      <c r="A34" s="20" t="s">
        <v>24</v>
      </c>
      <c r="B34" s="46">
        <v>30.0</v>
      </c>
      <c r="C34" s="22" t="s">
        <v>353</v>
      </c>
      <c r="D34" s="22" t="s">
        <v>354</v>
      </c>
      <c r="E34" s="22" t="s">
        <v>355</v>
      </c>
      <c r="F34" s="22" t="s">
        <v>30</v>
      </c>
      <c r="G34" s="22" t="s">
        <v>356</v>
      </c>
      <c r="H34" s="23" t="str">
        <f t="shared" si="1"/>
        <v>ESP1B,趙若彤 30 Heidi</v>
      </c>
    </row>
    <row r="35" ht="15.75" customHeight="1">
      <c r="A35" s="23"/>
      <c r="B35" s="23"/>
      <c r="C35" s="23" t="s">
        <v>22</v>
      </c>
      <c r="D35" s="23">
        <f>COUNTIF(F6:F34,"M")</f>
        <v>11</v>
      </c>
      <c r="E35" s="23" t="s">
        <v>30</v>
      </c>
      <c r="F35" s="23">
        <f>COUNTIF(F5:F34,"F")</f>
        <v>19</v>
      </c>
      <c r="G35" s="23"/>
      <c r="H35" s="23" t="str">
        <f t="shared" si="1"/>
        <v>,M  F</v>
      </c>
    </row>
    <row r="36" ht="15.75" customHeight="1">
      <c r="A36" s="45"/>
      <c r="B36" s="45"/>
      <c r="C36" s="45"/>
      <c r="D36" s="23"/>
      <c r="E36" s="23"/>
      <c r="F36" s="23"/>
      <c r="G36" s="23"/>
      <c r="H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3:H3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3.88"/>
    <col customWidth="1" min="3" max="3" width="19.25"/>
    <col customWidth="1" min="4" max="4" width="16.0"/>
    <col customWidth="1" min="5" max="5" width="9.88"/>
    <col customWidth="1" min="6" max="6" width="13.75"/>
    <col customWidth="1" min="7" max="7" width="9.63"/>
    <col customWidth="1" min="8" max="26" width="11.13"/>
  </cols>
  <sheetData>
    <row r="1" ht="18.0" customHeight="1">
      <c r="A1" s="4" t="s">
        <v>0</v>
      </c>
      <c r="B1" s="7"/>
      <c r="C1" s="7"/>
      <c r="D1" s="7"/>
      <c r="E1" s="7"/>
      <c r="F1" s="8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18.0" customHeight="1">
      <c r="A2" s="17" t="s">
        <v>17</v>
      </c>
      <c r="B2" s="7"/>
      <c r="C2" s="7"/>
      <c r="D2" s="7"/>
      <c r="E2" s="7"/>
      <c r="F2" s="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18.0" customHeight="1">
      <c r="A3" s="4" t="s">
        <v>25</v>
      </c>
      <c r="B3" s="7"/>
      <c r="C3" s="7"/>
      <c r="D3" s="7"/>
      <c r="E3" s="7"/>
      <c r="F3" s="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18.0" customHeight="1">
      <c r="A4" s="24" t="s">
        <v>3</v>
      </c>
      <c r="B4" s="25" t="s">
        <v>4</v>
      </c>
      <c r="C4" s="24" t="s">
        <v>5</v>
      </c>
      <c r="D4" s="24" t="s">
        <v>6</v>
      </c>
      <c r="E4" s="24" t="s">
        <v>7</v>
      </c>
      <c r="F4" s="24" t="s">
        <v>8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ht="18.0" customHeight="1">
      <c r="A5" s="27">
        <v>1.0</v>
      </c>
      <c r="B5" s="28" t="s">
        <v>58</v>
      </c>
      <c r="C5" s="29" t="s">
        <v>61</v>
      </c>
      <c r="D5" s="29" t="s">
        <v>65</v>
      </c>
      <c r="E5" s="30" t="s">
        <v>30</v>
      </c>
      <c r="F5" s="29" t="s">
        <v>72</v>
      </c>
      <c r="G5" s="31"/>
      <c r="H5" s="11"/>
      <c r="I5" s="11"/>
      <c r="J5" s="11"/>
      <c r="K5" s="11"/>
      <c r="L5" s="32"/>
      <c r="M5" s="11"/>
      <c r="N5" s="33"/>
      <c r="O5" s="33"/>
      <c r="P5" s="31"/>
      <c r="Q5" s="11"/>
      <c r="R5" s="11"/>
      <c r="S5" s="11"/>
      <c r="T5" s="11"/>
    </row>
    <row r="6" ht="18.0" customHeight="1">
      <c r="A6" s="30">
        <v>2.0</v>
      </c>
      <c r="B6" s="34" t="s">
        <v>88</v>
      </c>
      <c r="C6" s="29" t="s">
        <v>93</v>
      </c>
      <c r="D6" s="29" t="s">
        <v>95</v>
      </c>
      <c r="E6" s="30" t="s">
        <v>30</v>
      </c>
      <c r="F6" s="29" t="s">
        <v>100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18.0" customHeight="1">
      <c r="A7" s="27">
        <v>3.0</v>
      </c>
      <c r="B7" s="28" t="s">
        <v>111</v>
      </c>
      <c r="C7" s="29" t="s">
        <v>115</v>
      </c>
      <c r="D7" s="29" t="s">
        <v>117</v>
      </c>
      <c r="E7" s="29" t="s">
        <v>22</v>
      </c>
      <c r="F7" s="29" t="s">
        <v>121</v>
      </c>
      <c r="G7" s="36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8.0" customHeight="1">
      <c r="A8" s="27">
        <v>4.0</v>
      </c>
      <c r="B8" s="28" t="s">
        <v>132</v>
      </c>
      <c r="C8" s="29" t="s">
        <v>134</v>
      </c>
      <c r="D8" s="29" t="s">
        <v>136</v>
      </c>
      <c r="E8" s="30" t="s">
        <v>22</v>
      </c>
      <c r="F8" s="30" t="s">
        <v>141</v>
      </c>
      <c r="G8" s="11"/>
      <c r="H8" s="37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18.0" customHeight="1">
      <c r="A9" s="27">
        <v>5.0</v>
      </c>
      <c r="B9" s="28" t="s">
        <v>155</v>
      </c>
      <c r="C9" s="29" t="s">
        <v>159</v>
      </c>
      <c r="D9" s="29" t="s">
        <v>163</v>
      </c>
      <c r="E9" s="29" t="s">
        <v>22</v>
      </c>
      <c r="F9" s="29" t="s">
        <v>166</v>
      </c>
      <c r="G9" s="11"/>
      <c r="H9" s="11"/>
      <c r="I9" s="11"/>
      <c r="J9" s="11"/>
      <c r="K9" s="31"/>
      <c r="L9" s="33"/>
      <c r="M9" s="11"/>
      <c r="N9" s="11"/>
      <c r="O9" s="11"/>
      <c r="P9" s="11"/>
      <c r="Q9" s="11"/>
      <c r="R9" s="11"/>
      <c r="S9" s="11"/>
      <c r="T9" s="11"/>
    </row>
    <row r="10" ht="18.0" customHeight="1">
      <c r="A10" s="27">
        <v>6.0</v>
      </c>
      <c r="B10" s="34" t="s">
        <v>179</v>
      </c>
      <c r="C10" s="29" t="s">
        <v>184</v>
      </c>
      <c r="D10" s="29" t="s">
        <v>186</v>
      </c>
      <c r="E10" s="29" t="s">
        <v>30</v>
      </c>
      <c r="F10" s="29" t="s">
        <v>188</v>
      </c>
      <c r="G10" s="11"/>
      <c r="H10" s="3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18.0" customHeight="1">
      <c r="A11" s="27">
        <v>7.0</v>
      </c>
      <c r="B11" s="28" t="s">
        <v>196</v>
      </c>
      <c r="C11" s="29" t="s">
        <v>200</v>
      </c>
      <c r="D11" s="29" t="s">
        <v>205</v>
      </c>
      <c r="E11" s="30" t="s">
        <v>30</v>
      </c>
      <c r="F11" s="29" t="s">
        <v>208</v>
      </c>
      <c r="G11" s="38"/>
      <c r="H11" s="11"/>
      <c r="I11" s="11"/>
      <c r="J11" s="11"/>
      <c r="K11" s="11"/>
      <c r="L11" s="11"/>
      <c r="M11" s="33"/>
      <c r="N11" s="33"/>
      <c r="O11" s="33"/>
      <c r="P11" s="11"/>
      <c r="Q11" s="11"/>
      <c r="R11" s="11"/>
      <c r="S11" s="11"/>
      <c r="T11" s="11"/>
    </row>
    <row r="12" ht="18.0" customHeight="1">
      <c r="A12" s="27">
        <v>8.0</v>
      </c>
      <c r="B12" s="28" t="s">
        <v>227</v>
      </c>
      <c r="C12" s="29" t="s">
        <v>230</v>
      </c>
      <c r="D12" s="29" t="s">
        <v>232</v>
      </c>
      <c r="E12" s="29" t="s">
        <v>30</v>
      </c>
      <c r="F12" s="29" t="s">
        <v>234</v>
      </c>
      <c r="G12" s="36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18.0" customHeight="1">
      <c r="A13" s="27">
        <v>9.0</v>
      </c>
      <c r="B13" s="28" t="s">
        <v>249</v>
      </c>
      <c r="C13" s="29" t="s">
        <v>252</v>
      </c>
      <c r="D13" s="29" t="s">
        <v>253</v>
      </c>
      <c r="E13" s="29" t="s">
        <v>22</v>
      </c>
      <c r="F13" s="29" t="s">
        <v>257</v>
      </c>
      <c r="G13" s="36"/>
      <c r="H13" s="11"/>
      <c r="I13" s="11"/>
      <c r="J13" s="31"/>
      <c r="K13" s="33"/>
      <c r="L13" s="33"/>
      <c r="M13" s="11"/>
      <c r="N13" s="11"/>
      <c r="O13" s="11"/>
      <c r="P13" s="11"/>
      <c r="Q13" s="11"/>
      <c r="R13" s="11"/>
      <c r="S13" s="11"/>
      <c r="T13" s="11"/>
    </row>
    <row r="14" ht="18.0" customHeight="1">
      <c r="A14" s="27">
        <v>10.0</v>
      </c>
      <c r="B14" s="34" t="s">
        <v>274</v>
      </c>
      <c r="C14" s="29" t="s">
        <v>277</v>
      </c>
      <c r="D14" s="29" t="s">
        <v>279</v>
      </c>
      <c r="E14" s="30" t="s">
        <v>22</v>
      </c>
      <c r="F14" s="29" t="s">
        <v>285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18.0" customHeight="1">
      <c r="A15" s="27">
        <v>11.0</v>
      </c>
      <c r="B15" s="28" t="s">
        <v>298</v>
      </c>
      <c r="C15" s="29" t="s">
        <v>300</v>
      </c>
      <c r="D15" s="29" t="s">
        <v>305</v>
      </c>
      <c r="E15" s="29" t="s">
        <v>22</v>
      </c>
      <c r="F15" s="29" t="s">
        <v>308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18.0" customHeight="1">
      <c r="A16" s="30">
        <v>12.0</v>
      </c>
      <c r="B16" s="28" t="s">
        <v>318</v>
      </c>
      <c r="C16" s="29" t="s">
        <v>321</v>
      </c>
      <c r="D16" s="29" t="s">
        <v>324</v>
      </c>
      <c r="E16" s="29" t="s">
        <v>30</v>
      </c>
      <c r="F16" s="29" t="s">
        <v>326</v>
      </c>
      <c r="G16" s="11"/>
      <c r="H16" s="11"/>
      <c r="I16" s="11"/>
      <c r="J16" s="11"/>
      <c r="K16" s="11"/>
      <c r="L16" s="11"/>
      <c r="M16" s="33"/>
      <c r="N16" s="33"/>
      <c r="O16" s="33"/>
      <c r="P16" s="33"/>
      <c r="Q16" s="11"/>
      <c r="R16" s="11"/>
      <c r="S16" s="11"/>
      <c r="T16" s="11"/>
    </row>
    <row r="17" ht="18.0" customHeight="1">
      <c r="A17" s="30">
        <v>13.0</v>
      </c>
      <c r="B17" s="28" t="s">
        <v>332</v>
      </c>
      <c r="C17" s="30" t="s">
        <v>333</v>
      </c>
      <c r="D17" s="29" t="s">
        <v>335</v>
      </c>
      <c r="E17" s="30" t="s">
        <v>22</v>
      </c>
      <c r="F17" s="30" t="s">
        <v>339</v>
      </c>
      <c r="G17" s="11"/>
      <c r="H17" s="37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ht="18.0" customHeight="1">
      <c r="A18" s="27">
        <v>14.0</v>
      </c>
      <c r="B18" s="34" t="s">
        <v>344</v>
      </c>
      <c r="C18" s="29" t="s">
        <v>347</v>
      </c>
      <c r="D18" s="29" t="s">
        <v>349</v>
      </c>
      <c r="E18" s="30" t="s">
        <v>22</v>
      </c>
      <c r="F18" s="29" t="s">
        <v>352</v>
      </c>
      <c r="G18" s="11"/>
      <c r="H18" s="11"/>
      <c r="I18" s="11"/>
      <c r="J18" s="11"/>
      <c r="K18" s="11"/>
      <c r="L18" s="31"/>
      <c r="M18" s="11"/>
      <c r="N18" s="11"/>
      <c r="O18" s="11"/>
      <c r="P18" s="11"/>
      <c r="Q18" s="11"/>
      <c r="R18" s="11"/>
      <c r="S18" s="11"/>
      <c r="T18" s="11"/>
    </row>
    <row r="19" ht="18.0" customHeight="1">
      <c r="A19" s="30">
        <v>15.0</v>
      </c>
      <c r="B19" s="34" t="s">
        <v>358</v>
      </c>
      <c r="C19" s="29" t="s">
        <v>359</v>
      </c>
      <c r="D19" s="29" t="s">
        <v>360</v>
      </c>
      <c r="E19" s="29" t="s">
        <v>30</v>
      </c>
      <c r="F19" s="29" t="s">
        <v>361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ht="18.0" customHeight="1">
      <c r="A20" s="30">
        <v>16.0</v>
      </c>
      <c r="B20" s="28" t="s">
        <v>363</v>
      </c>
      <c r="C20" s="29" t="s">
        <v>364</v>
      </c>
      <c r="D20" s="29" t="s">
        <v>365</v>
      </c>
      <c r="E20" s="29" t="s">
        <v>22</v>
      </c>
      <c r="F20" s="29" t="s">
        <v>366</v>
      </c>
      <c r="G20" s="11"/>
      <c r="H20" s="3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ht="18.0" customHeight="1">
      <c r="A21" s="30">
        <v>17.0</v>
      </c>
      <c r="B21" s="28" t="s">
        <v>368</v>
      </c>
      <c r="C21" s="29" t="s">
        <v>369</v>
      </c>
      <c r="D21" s="29" t="s">
        <v>370</v>
      </c>
      <c r="E21" s="29" t="s">
        <v>22</v>
      </c>
      <c r="F21" s="29" t="s">
        <v>371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8.0" customHeight="1">
      <c r="A22" s="30">
        <v>18.0</v>
      </c>
      <c r="B22" s="34" t="s">
        <v>373</v>
      </c>
      <c r="C22" s="29" t="s">
        <v>374</v>
      </c>
      <c r="D22" s="29" t="s">
        <v>375</v>
      </c>
      <c r="E22" s="29" t="s">
        <v>22</v>
      </c>
      <c r="F22" s="29" t="s">
        <v>377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ht="18.0" customHeight="1">
      <c r="A23" s="30">
        <v>19.0</v>
      </c>
      <c r="B23" s="28" t="s">
        <v>378</v>
      </c>
      <c r="C23" s="29" t="s">
        <v>380</v>
      </c>
      <c r="D23" s="29" t="s">
        <v>381</v>
      </c>
      <c r="E23" s="30" t="s">
        <v>30</v>
      </c>
      <c r="F23" s="29" t="s">
        <v>382</v>
      </c>
      <c r="G23" s="11"/>
      <c r="H23" s="33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ht="18.0" customHeight="1">
      <c r="A24" s="30">
        <v>20.0</v>
      </c>
      <c r="B24" s="34" t="s">
        <v>384</v>
      </c>
      <c r="C24" s="30" t="s">
        <v>385</v>
      </c>
      <c r="D24" s="29" t="s">
        <v>386</v>
      </c>
      <c r="E24" s="30" t="s">
        <v>30</v>
      </c>
      <c r="F24" s="30" t="s">
        <v>387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ht="18.0" customHeight="1">
      <c r="A25" s="30">
        <v>21.0</v>
      </c>
      <c r="B25" s="28" t="s">
        <v>389</v>
      </c>
      <c r="C25" s="29" t="s">
        <v>390</v>
      </c>
      <c r="D25" s="29" t="s">
        <v>391</v>
      </c>
      <c r="E25" s="29" t="s">
        <v>30</v>
      </c>
      <c r="F25" s="29" t="s">
        <v>392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ht="18.0" customHeight="1">
      <c r="A26" s="30">
        <v>22.0</v>
      </c>
      <c r="B26" s="28" t="s">
        <v>394</v>
      </c>
      <c r="C26" s="29" t="s">
        <v>395</v>
      </c>
      <c r="D26" s="29" t="s">
        <v>396</v>
      </c>
      <c r="E26" s="29" t="s">
        <v>22</v>
      </c>
      <c r="F26" s="29" t="s">
        <v>398</v>
      </c>
      <c r="G26" s="3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ht="18.0" customHeight="1">
      <c r="A27" s="30">
        <v>23.0</v>
      </c>
      <c r="B27" s="28" t="s">
        <v>399</v>
      </c>
      <c r="C27" s="29" t="s">
        <v>400</v>
      </c>
      <c r="D27" s="29" t="s">
        <v>401</v>
      </c>
      <c r="E27" s="30" t="s">
        <v>22</v>
      </c>
      <c r="F27" s="29" t="s">
        <v>403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ht="18.0" customHeight="1">
      <c r="A28" s="30">
        <v>24.0</v>
      </c>
      <c r="B28" s="34" t="s">
        <v>404</v>
      </c>
      <c r="C28" s="29" t="s">
        <v>406</v>
      </c>
      <c r="D28" s="29" t="s">
        <v>407</v>
      </c>
      <c r="E28" s="30" t="s">
        <v>22</v>
      </c>
      <c r="F28" s="29" t="s">
        <v>408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18.0" customHeight="1">
      <c r="A29" s="30">
        <v>25.0</v>
      </c>
      <c r="B29" s="28" t="s">
        <v>410</v>
      </c>
      <c r="C29" s="30" t="s">
        <v>411</v>
      </c>
      <c r="D29" s="30" t="s">
        <v>412</v>
      </c>
      <c r="E29" s="30" t="s">
        <v>30</v>
      </c>
      <c r="F29" s="30" t="s">
        <v>414</v>
      </c>
      <c r="G29" s="11"/>
      <c r="H29" s="3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8.0" customHeight="1">
      <c r="A30" s="30">
        <v>26.0</v>
      </c>
      <c r="B30" s="28" t="s">
        <v>417</v>
      </c>
      <c r="C30" s="29" t="s">
        <v>419</v>
      </c>
      <c r="D30" s="29" t="s">
        <v>421</v>
      </c>
      <c r="E30" s="30" t="s">
        <v>30</v>
      </c>
      <c r="F30" s="29" t="s">
        <v>422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ht="18.0" customHeight="1">
      <c r="A31" s="30">
        <v>27.0</v>
      </c>
      <c r="B31" s="28" t="s">
        <v>425</v>
      </c>
      <c r="C31" s="29" t="s">
        <v>426</v>
      </c>
      <c r="D31" s="29" t="s">
        <v>427</v>
      </c>
      <c r="E31" s="29" t="s">
        <v>30</v>
      </c>
      <c r="F31" s="29" t="s">
        <v>429</v>
      </c>
      <c r="G31" s="11"/>
      <c r="H31" s="3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18.0" customHeight="1">
      <c r="A32" s="30">
        <v>28.0</v>
      </c>
      <c r="B32" s="34" t="s">
        <v>435</v>
      </c>
      <c r="C32" s="29" t="s">
        <v>436</v>
      </c>
      <c r="D32" s="29" t="s">
        <v>437</v>
      </c>
      <c r="E32" s="29" t="s">
        <v>30</v>
      </c>
      <c r="F32" s="29" t="s">
        <v>438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ht="18.0" customHeight="1">
      <c r="A33" s="30">
        <v>29.0</v>
      </c>
      <c r="B33" s="28" t="s">
        <v>443</v>
      </c>
      <c r="C33" s="29" t="s">
        <v>445</v>
      </c>
      <c r="D33" s="29" t="s">
        <v>446</v>
      </c>
      <c r="E33" s="29" t="s">
        <v>22</v>
      </c>
      <c r="F33" s="29" t="s">
        <v>448</v>
      </c>
      <c r="G33" s="36"/>
      <c r="H33" s="3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ht="18.0" customHeight="1">
      <c r="A34" s="30">
        <v>30.0</v>
      </c>
      <c r="B34" s="34" t="s">
        <v>456</v>
      </c>
      <c r="C34" s="30" t="s">
        <v>457</v>
      </c>
      <c r="D34" s="29" t="s">
        <v>458</v>
      </c>
      <c r="E34" s="30" t="s">
        <v>30</v>
      </c>
      <c r="F34" s="29" t="s">
        <v>460</v>
      </c>
      <c r="G34" s="11"/>
      <c r="H34" s="3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ht="18.0" customHeight="1">
      <c r="A35" s="11"/>
      <c r="B35" s="59"/>
      <c r="C35" s="11" t="s">
        <v>22</v>
      </c>
      <c r="D35" s="11">
        <f>COUNTIF(E5:E34,"M")</f>
        <v>15</v>
      </c>
      <c r="E35" s="11" t="s">
        <v>30</v>
      </c>
      <c r="F35" s="11">
        <f>COUNTIF(E5:E34,"F")</f>
        <v>15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ht="18.0" customHeight="1">
      <c r="A36" s="11"/>
      <c r="B36" s="59"/>
      <c r="C36" s="11"/>
      <c r="D36" s="11"/>
      <c r="E36" s="11"/>
      <c r="F36" s="11"/>
      <c r="G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ht="18.0" customHeight="1">
      <c r="A37" s="11"/>
      <c r="B37" s="59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ht="18.0" customHeight="1">
      <c r="A38" s="11"/>
      <c r="B38" s="59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ht="18.0" customHeight="1">
      <c r="A39" s="11"/>
      <c r="B39" s="5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ht="18.0" customHeight="1">
      <c r="A40" s="11"/>
      <c r="B40" s="5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ht="18.0" customHeight="1">
      <c r="A41" s="11"/>
      <c r="B41" s="5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ht="18.0" customHeight="1">
      <c r="A42" s="11"/>
      <c r="B42" s="59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ht="18.0" customHeight="1">
      <c r="A43" s="11"/>
      <c r="B43" s="59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ht="18.0" customHeight="1">
      <c r="A44" s="11"/>
      <c r="B44" s="5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ht="18.0" customHeight="1">
      <c r="A45" s="11"/>
      <c r="B45" s="59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ht="18.0" customHeight="1">
      <c r="A46" s="11"/>
      <c r="B46" s="59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ht="18.0" customHeight="1">
      <c r="A47" s="11"/>
      <c r="B47" s="59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ht="18.0" customHeight="1">
      <c r="A48" s="11"/>
      <c r="B48" s="59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ht="18.0" customHeight="1">
      <c r="A49" s="11"/>
      <c r="B49" s="59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ht="18.0" customHeight="1">
      <c r="A50" s="11"/>
      <c r="B50" s="5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ht="18.0" customHeight="1">
      <c r="A51" s="11"/>
      <c r="B51" s="5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ht="18.0" customHeight="1">
      <c r="A52" s="11"/>
      <c r="B52" s="5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ht="18.0" customHeight="1">
      <c r="A53" s="11"/>
      <c r="B53" s="5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ht="18.0" customHeight="1">
      <c r="A54" s="11"/>
      <c r="B54" s="5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ht="18.0" customHeight="1">
      <c r="A55" s="11"/>
      <c r="B55" s="5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ht="18.0" customHeight="1">
      <c r="A56" s="11"/>
      <c r="B56" s="5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ht="18.0" customHeight="1">
      <c r="A57" s="11"/>
      <c r="B57" s="5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ht="18.0" customHeight="1">
      <c r="A58" s="11"/>
      <c r="B58" s="5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ht="18.0" customHeight="1">
      <c r="A59" s="11"/>
      <c r="B59" s="5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ht="18.0" customHeight="1">
      <c r="A60" s="11"/>
      <c r="B60" s="5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ht="18.0" customHeight="1">
      <c r="A61" s="11"/>
      <c r="B61" s="5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ht="18.0" customHeight="1">
      <c r="A62" s="11"/>
      <c r="B62" s="59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ht="18.0" customHeight="1">
      <c r="A63" s="11"/>
      <c r="B63" s="5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ht="18.0" customHeight="1">
      <c r="A64" s="11"/>
      <c r="B64" s="5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ht="18.0" customHeight="1">
      <c r="A65" s="11"/>
      <c r="B65" s="5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ht="18.0" customHeight="1">
      <c r="A66" s="11"/>
      <c r="B66" s="59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ht="18.0" customHeight="1">
      <c r="A67" s="11"/>
      <c r="B67" s="59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ht="18.0" customHeight="1">
      <c r="A68" s="11"/>
      <c r="B68" s="5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ht="18.0" customHeight="1">
      <c r="A69" s="11"/>
      <c r="B69" s="5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ht="18.0" customHeight="1">
      <c r="A70" s="11"/>
      <c r="B70" s="5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ht="18.0" customHeight="1">
      <c r="A71" s="11"/>
      <c r="B71" s="5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ht="18.0" customHeight="1">
      <c r="A72" s="11"/>
      <c r="B72" s="59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ht="18.0" customHeight="1">
      <c r="A73" s="11"/>
      <c r="B73" s="5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ht="18.0" customHeight="1">
      <c r="A74" s="11"/>
      <c r="B74" s="59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ht="18.0" customHeight="1">
      <c r="A75" s="11"/>
      <c r="B75" s="59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ht="18.0" customHeight="1">
      <c r="A76" s="11"/>
      <c r="B76" s="59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ht="18.0" customHeight="1">
      <c r="A77" s="11"/>
      <c r="B77" s="59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ht="18.0" customHeight="1">
      <c r="A78" s="11"/>
      <c r="B78" s="59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ht="18.0" customHeight="1">
      <c r="A79" s="11"/>
      <c r="B79" s="59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ht="18.0" customHeight="1">
      <c r="A80" s="11"/>
      <c r="B80" s="59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ht="18.0" customHeight="1">
      <c r="A81" s="11"/>
      <c r="B81" s="59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ht="18.0" customHeight="1">
      <c r="A82" s="11"/>
      <c r="B82" s="59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ht="18.0" customHeight="1">
      <c r="A83" s="11"/>
      <c r="B83" s="59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ht="18.0" customHeight="1">
      <c r="A84" s="11"/>
      <c r="B84" s="59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ht="18.0" customHeight="1">
      <c r="A85" s="11"/>
      <c r="B85" s="59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ht="18.0" customHeight="1">
      <c r="A86" s="11"/>
      <c r="B86" s="59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ht="18.0" customHeight="1">
      <c r="A87" s="11"/>
      <c r="B87" s="59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ht="18.0" customHeight="1">
      <c r="A88" s="11"/>
      <c r="B88" s="59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ht="18.0" customHeight="1">
      <c r="A89" s="11"/>
      <c r="B89" s="59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ht="18.0" customHeight="1">
      <c r="A90" s="11"/>
      <c r="B90" s="59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ht="18.0" customHeight="1">
      <c r="A91" s="11"/>
      <c r="B91" s="59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8.0" customHeight="1">
      <c r="A92" s="11"/>
      <c r="B92" s="59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ht="18.0" customHeight="1">
      <c r="A93" s="11"/>
      <c r="B93" s="59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8.0" customHeight="1">
      <c r="A94" s="11"/>
      <c r="B94" s="59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ht="18.0" customHeight="1">
      <c r="A95" s="11"/>
      <c r="B95" s="59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ht="18.0" customHeight="1">
      <c r="A96" s="11"/>
      <c r="B96" s="59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ht="18.0" customHeight="1">
      <c r="A97" s="11"/>
      <c r="B97" s="59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ht="18.0" customHeight="1">
      <c r="A98" s="11"/>
      <c r="B98" s="59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ht="18.0" customHeight="1">
      <c r="A99" s="11"/>
      <c r="B99" s="59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8.0" customHeight="1">
      <c r="A100" s="11"/>
      <c r="B100" s="59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8.0" customHeight="1">
      <c r="A101" s="11"/>
      <c r="B101" s="59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8.0" customHeight="1">
      <c r="A102" s="11"/>
      <c r="B102" s="59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8.0" customHeight="1">
      <c r="A103" s="11"/>
      <c r="B103" s="59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8.0" customHeight="1">
      <c r="A104" s="11"/>
      <c r="B104" s="59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8.0" customHeight="1">
      <c r="A105" s="11"/>
      <c r="B105" s="59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8.0" customHeight="1">
      <c r="A106" s="11"/>
      <c r="B106" s="59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8.0" customHeight="1">
      <c r="A107" s="11"/>
      <c r="B107" s="59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8.0" customHeight="1">
      <c r="A108" s="11"/>
      <c r="B108" s="59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8.0" customHeight="1">
      <c r="A109" s="11"/>
      <c r="B109" s="59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8.0" customHeight="1">
      <c r="A110" s="11"/>
      <c r="B110" s="59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8.0" customHeight="1">
      <c r="A111" s="11"/>
      <c r="B111" s="59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8.0" customHeight="1">
      <c r="A112" s="11"/>
      <c r="B112" s="59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ht="18.0" customHeight="1">
      <c r="A113" s="11"/>
      <c r="B113" s="59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8.0" customHeight="1">
      <c r="A114" s="11"/>
      <c r="B114" s="59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8.0" customHeight="1">
      <c r="A115" s="11"/>
      <c r="B115" s="59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8.0" customHeight="1">
      <c r="A116" s="11"/>
      <c r="B116" s="59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8.0" customHeight="1">
      <c r="A117" s="11"/>
      <c r="B117" s="59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8.0" customHeight="1">
      <c r="A118" s="11"/>
      <c r="B118" s="59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8.0" customHeight="1">
      <c r="A119" s="11"/>
      <c r="B119" s="59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8.0" customHeight="1">
      <c r="A120" s="11"/>
      <c r="B120" s="59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8.0" customHeight="1">
      <c r="A121" s="11"/>
      <c r="B121" s="59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8.0" customHeight="1">
      <c r="A122" s="11"/>
      <c r="B122" s="59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8.0" customHeight="1">
      <c r="A123" s="11"/>
      <c r="B123" s="59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8.0" customHeight="1">
      <c r="A124" s="11"/>
      <c r="B124" s="59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8.0" customHeight="1">
      <c r="A125" s="11"/>
      <c r="B125" s="59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8.0" customHeight="1">
      <c r="A126" s="11"/>
      <c r="B126" s="59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8.0" customHeight="1">
      <c r="A127" s="11"/>
      <c r="B127" s="59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8.0" customHeight="1">
      <c r="A128" s="11"/>
      <c r="B128" s="59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8.0" customHeight="1">
      <c r="A129" s="11"/>
      <c r="B129" s="59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8.0" customHeight="1">
      <c r="A130" s="11"/>
      <c r="B130" s="59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8.0" customHeight="1">
      <c r="A131" s="11"/>
      <c r="B131" s="59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8.0" customHeight="1">
      <c r="A132" s="11"/>
      <c r="B132" s="59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8.0" customHeight="1">
      <c r="A133" s="11"/>
      <c r="B133" s="59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8.0" customHeight="1">
      <c r="A134" s="11"/>
      <c r="B134" s="59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ht="18.0" customHeight="1">
      <c r="A135" s="11"/>
      <c r="B135" s="59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8.0" customHeight="1">
      <c r="A136" s="11"/>
      <c r="B136" s="59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8.0" customHeight="1">
      <c r="A137" s="11"/>
      <c r="B137" s="59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8.0" customHeight="1">
      <c r="A138" s="11"/>
      <c r="B138" s="59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8.0" customHeight="1">
      <c r="A139" s="11"/>
      <c r="B139" s="59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8.0" customHeight="1">
      <c r="A140" s="11"/>
      <c r="B140" s="59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8.0" customHeight="1">
      <c r="A141" s="11"/>
      <c r="B141" s="59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8.0" customHeight="1">
      <c r="A142" s="11"/>
      <c r="B142" s="59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8.0" customHeight="1">
      <c r="A143" s="11"/>
      <c r="B143" s="59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8.0" customHeight="1">
      <c r="A144" s="11"/>
      <c r="B144" s="59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ht="18.0" customHeight="1">
      <c r="A145" s="11"/>
      <c r="B145" s="59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8.0" customHeight="1">
      <c r="A146" s="11"/>
      <c r="B146" s="59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8.0" customHeight="1">
      <c r="A147" s="11"/>
      <c r="B147" s="59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8.0" customHeight="1">
      <c r="A148" s="11"/>
      <c r="B148" s="59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ht="18.0" customHeight="1">
      <c r="A149" s="11"/>
      <c r="B149" s="59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8.0" customHeight="1">
      <c r="A150" s="11"/>
      <c r="B150" s="59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8.0" customHeight="1">
      <c r="A151" s="11"/>
      <c r="B151" s="59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8.0" customHeight="1">
      <c r="A152" s="11"/>
      <c r="B152" s="59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8.0" customHeight="1">
      <c r="A153" s="11"/>
      <c r="B153" s="59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8.0" customHeight="1">
      <c r="A154" s="11"/>
      <c r="B154" s="59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8.0" customHeight="1">
      <c r="A155" s="11"/>
      <c r="B155" s="59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8.0" customHeight="1">
      <c r="A156" s="11"/>
      <c r="B156" s="59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8.0" customHeight="1">
      <c r="A157" s="11"/>
      <c r="B157" s="59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8.0" customHeight="1">
      <c r="A158" s="11"/>
      <c r="B158" s="59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8.0" customHeight="1">
      <c r="A159" s="11"/>
      <c r="B159" s="59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8.0" customHeight="1">
      <c r="A160" s="11"/>
      <c r="B160" s="59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ht="18.0" customHeight="1">
      <c r="A161" s="11"/>
      <c r="B161" s="59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8.0" customHeight="1">
      <c r="A162" s="11"/>
      <c r="B162" s="59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ht="18.0" customHeight="1">
      <c r="A163" s="11"/>
      <c r="B163" s="59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8.0" customHeight="1">
      <c r="A164" s="11"/>
      <c r="B164" s="59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8.0" customHeight="1">
      <c r="A165" s="11"/>
      <c r="B165" s="59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8.0" customHeight="1">
      <c r="A166" s="11"/>
      <c r="B166" s="59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8.0" customHeight="1">
      <c r="A167" s="11"/>
      <c r="B167" s="59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8.0" customHeight="1">
      <c r="A168" s="11"/>
      <c r="B168" s="59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8.0" customHeight="1">
      <c r="A169" s="11"/>
      <c r="B169" s="59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8.0" customHeight="1">
      <c r="A170" s="11"/>
      <c r="B170" s="59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8.0" customHeight="1">
      <c r="A171" s="11"/>
      <c r="B171" s="59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8.0" customHeight="1">
      <c r="A172" s="11"/>
      <c r="B172" s="59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8.0" customHeight="1">
      <c r="A173" s="11"/>
      <c r="B173" s="59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8.0" customHeight="1">
      <c r="A174" s="11"/>
      <c r="B174" s="59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8.0" customHeight="1">
      <c r="A175" s="11"/>
      <c r="B175" s="59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8.0" customHeight="1">
      <c r="A176" s="11"/>
      <c r="B176" s="59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8.0" customHeight="1">
      <c r="A177" s="11"/>
      <c r="B177" s="59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8.0" customHeight="1">
      <c r="A178" s="11"/>
      <c r="B178" s="59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8.0" customHeight="1">
      <c r="A179" s="11"/>
      <c r="B179" s="59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8.0" customHeight="1">
      <c r="A180" s="11"/>
      <c r="B180" s="59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8.0" customHeight="1">
      <c r="A181" s="11"/>
      <c r="B181" s="59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8.0" customHeight="1">
      <c r="A182" s="11"/>
      <c r="B182" s="59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8.0" customHeight="1">
      <c r="A183" s="11"/>
      <c r="B183" s="59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8.0" customHeight="1">
      <c r="A184" s="11"/>
      <c r="B184" s="59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8.0" customHeight="1">
      <c r="A185" s="11"/>
      <c r="B185" s="59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8.0" customHeight="1">
      <c r="A186" s="11"/>
      <c r="B186" s="59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8.0" customHeight="1">
      <c r="A187" s="11"/>
      <c r="B187" s="59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8.0" customHeight="1">
      <c r="A188" s="11"/>
      <c r="B188" s="59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8.0" customHeight="1">
      <c r="A189" s="11"/>
      <c r="B189" s="59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8.0" customHeight="1">
      <c r="A190" s="11"/>
      <c r="B190" s="59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8.0" customHeight="1">
      <c r="A191" s="11"/>
      <c r="B191" s="59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8.0" customHeight="1">
      <c r="A192" s="11"/>
      <c r="B192" s="59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8.0" customHeight="1">
      <c r="A193" s="11"/>
      <c r="B193" s="59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8.0" customHeight="1">
      <c r="A194" s="11"/>
      <c r="B194" s="59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8.0" customHeight="1">
      <c r="A195" s="11"/>
      <c r="B195" s="59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8.0" customHeight="1">
      <c r="A196" s="11"/>
      <c r="B196" s="59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8.0" customHeight="1">
      <c r="A197" s="11"/>
      <c r="B197" s="59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8.0" customHeight="1">
      <c r="A198" s="11"/>
      <c r="B198" s="59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8.0" customHeight="1">
      <c r="A199" s="11"/>
      <c r="B199" s="59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8.0" customHeight="1">
      <c r="A200" s="11"/>
      <c r="B200" s="59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ht="18.0" customHeight="1">
      <c r="A201" s="11"/>
      <c r="B201" s="59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ht="18.0" customHeight="1">
      <c r="A202" s="11"/>
      <c r="B202" s="59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ht="18.0" customHeight="1">
      <c r="A203" s="11"/>
      <c r="B203" s="59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ht="18.0" customHeight="1">
      <c r="A204" s="11"/>
      <c r="B204" s="59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ht="18.0" customHeight="1">
      <c r="A205" s="11"/>
      <c r="B205" s="59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ht="18.0" customHeight="1">
      <c r="A206" s="11"/>
      <c r="B206" s="59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ht="18.0" customHeight="1">
      <c r="A207" s="11"/>
      <c r="B207" s="59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ht="18.0" customHeight="1">
      <c r="A208" s="11"/>
      <c r="B208" s="59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ht="18.0" customHeight="1">
      <c r="A209" s="11"/>
      <c r="B209" s="59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ht="18.0" customHeight="1">
      <c r="A210" s="11"/>
      <c r="B210" s="59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ht="18.0" customHeight="1">
      <c r="A211" s="11"/>
      <c r="B211" s="59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ht="18.0" customHeight="1">
      <c r="A212" s="11"/>
      <c r="B212" s="59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ht="18.0" customHeight="1">
      <c r="A213" s="11"/>
      <c r="B213" s="59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ht="18.0" customHeight="1">
      <c r="A214" s="11"/>
      <c r="B214" s="59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ht="18.0" customHeight="1">
      <c r="A215" s="11"/>
      <c r="B215" s="59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ht="18.0" customHeight="1">
      <c r="A216" s="11"/>
      <c r="B216" s="59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ht="18.0" customHeight="1">
      <c r="A217" s="11"/>
      <c r="B217" s="59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ht="18.0" customHeight="1">
      <c r="A218" s="11"/>
      <c r="B218" s="59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ht="18.0" customHeight="1">
      <c r="A219" s="11"/>
      <c r="B219" s="59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ht="18.0" customHeight="1">
      <c r="A220" s="11"/>
      <c r="B220" s="59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ht="18.0" customHeight="1">
      <c r="A221" s="11"/>
      <c r="B221" s="59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ht="18.0" customHeight="1">
      <c r="A222" s="11"/>
      <c r="B222" s="59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ht="18.0" customHeight="1">
      <c r="A223" s="11"/>
      <c r="B223" s="59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ht="18.0" customHeight="1">
      <c r="A224" s="11"/>
      <c r="B224" s="59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ht="18.0" customHeight="1">
      <c r="A225" s="11"/>
      <c r="B225" s="59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ht="18.0" customHeight="1">
      <c r="A226" s="11"/>
      <c r="B226" s="59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ht="18.0" customHeight="1">
      <c r="A227" s="11"/>
      <c r="B227" s="59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ht="18.0" customHeight="1">
      <c r="A228" s="11"/>
      <c r="B228" s="59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ht="18.0" customHeight="1">
      <c r="A229" s="11"/>
      <c r="B229" s="59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ht="18.0" customHeight="1">
      <c r="A230" s="11"/>
      <c r="B230" s="59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ht="18.0" customHeight="1">
      <c r="A231" s="11"/>
      <c r="B231" s="59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ht="18.0" customHeight="1">
      <c r="A232" s="11"/>
      <c r="B232" s="59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ht="18.0" customHeight="1">
      <c r="A233" s="11"/>
      <c r="B233" s="59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ht="18.0" customHeight="1">
      <c r="A234" s="11"/>
      <c r="B234" s="59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ht="18.0" customHeight="1">
      <c r="A235" s="11"/>
      <c r="B235" s="59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3.75"/>
    <col customWidth="1" min="3" max="3" width="25.13"/>
    <col customWidth="1" min="4" max="4" width="14.38"/>
    <col customWidth="1" min="5" max="26" width="11.13"/>
  </cols>
  <sheetData>
    <row r="1" ht="18.0" customHeight="1">
      <c r="A1" s="4" t="s">
        <v>409</v>
      </c>
      <c r="B1" s="7"/>
      <c r="C1" s="7"/>
      <c r="D1" s="7"/>
      <c r="E1" s="7"/>
      <c r="F1" s="8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ht="18.0" customHeight="1">
      <c r="A2" s="17" t="s">
        <v>415</v>
      </c>
      <c r="B2" s="7"/>
      <c r="C2" s="7"/>
      <c r="D2" s="7"/>
      <c r="E2" s="7"/>
      <c r="F2" s="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18.0" customHeight="1">
      <c r="A3" s="4" t="s">
        <v>418</v>
      </c>
      <c r="B3" s="7"/>
      <c r="C3" s="7"/>
      <c r="D3" s="7"/>
      <c r="E3" s="7"/>
      <c r="F3" s="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ht="18.0" customHeight="1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4" t="s">
        <v>8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ht="18.0" customHeight="1">
      <c r="A5" s="30">
        <v>1.0</v>
      </c>
      <c r="B5" s="28" t="s">
        <v>430</v>
      </c>
      <c r="C5" s="29" t="s">
        <v>431</v>
      </c>
      <c r="D5" s="29" t="s">
        <v>432</v>
      </c>
      <c r="E5" s="29" t="s">
        <v>22</v>
      </c>
      <c r="F5" s="29" t="s">
        <v>434</v>
      </c>
      <c r="G5" s="11"/>
      <c r="H5" s="11"/>
      <c r="I5" s="11"/>
      <c r="J5" s="11"/>
      <c r="K5" s="32"/>
      <c r="L5" s="11"/>
      <c r="M5" s="33"/>
      <c r="N5" s="33"/>
      <c r="O5" s="31"/>
      <c r="P5" s="11"/>
      <c r="Q5" s="11"/>
      <c r="R5" s="11"/>
      <c r="S5" s="11"/>
    </row>
    <row r="6" ht="18.0" customHeight="1">
      <c r="A6" s="30">
        <f t="shared" ref="A6:A33" si="1">A5+1</f>
        <v>2</v>
      </c>
      <c r="B6" s="34" t="s">
        <v>440</v>
      </c>
      <c r="C6" s="30" t="s">
        <v>441</v>
      </c>
      <c r="D6" s="30" t="s">
        <v>444</v>
      </c>
      <c r="E6" s="30" t="s">
        <v>22</v>
      </c>
      <c r="F6" s="30" t="s">
        <v>447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ht="18.0" customHeight="1">
      <c r="A7" s="30">
        <f t="shared" si="1"/>
        <v>3</v>
      </c>
      <c r="B7" s="28" t="s">
        <v>451</v>
      </c>
      <c r="C7" s="29" t="s">
        <v>452</v>
      </c>
      <c r="D7" s="29" t="s">
        <v>454</v>
      </c>
      <c r="E7" s="30" t="s">
        <v>22</v>
      </c>
      <c r="F7" s="29" t="s">
        <v>455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ht="18.0" customHeight="1">
      <c r="A8" s="30">
        <f t="shared" si="1"/>
        <v>4</v>
      </c>
      <c r="B8" s="28" t="s">
        <v>462</v>
      </c>
      <c r="C8" s="29" t="s">
        <v>464</v>
      </c>
      <c r="D8" s="29" t="s">
        <v>465</v>
      </c>
      <c r="E8" s="29" t="s">
        <v>30</v>
      </c>
      <c r="F8" s="29" t="s">
        <v>467</v>
      </c>
      <c r="G8" s="58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ht="18.0" customHeight="1">
      <c r="A9" s="30">
        <f t="shared" si="1"/>
        <v>5</v>
      </c>
      <c r="B9" s="34" t="s">
        <v>471</v>
      </c>
      <c r="C9" s="29" t="s">
        <v>473</v>
      </c>
      <c r="D9" s="29" t="s">
        <v>474</v>
      </c>
      <c r="E9" s="30" t="s">
        <v>22</v>
      </c>
      <c r="F9" s="29" t="s">
        <v>475</v>
      </c>
      <c r="G9" s="11"/>
      <c r="H9" s="11"/>
      <c r="I9" s="11"/>
      <c r="J9" s="31"/>
      <c r="K9" s="33"/>
      <c r="L9" s="11"/>
      <c r="M9" s="11"/>
      <c r="N9" s="11"/>
      <c r="O9" s="11"/>
      <c r="P9" s="11"/>
      <c r="Q9" s="11"/>
      <c r="R9" s="11"/>
      <c r="S9" s="11"/>
    </row>
    <row r="10" ht="18.0" customHeight="1">
      <c r="A10" s="30">
        <f t="shared" si="1"/>
        <v>6</v>
      </c>
      <c r="B10" s="34" t="s">
        <v>478</v>
      </c>
      <c r="C10" s="29" t="s">
        <v>481</v>
      </c>
      <c r="D10" s="29" t="s">
        <v>482</v>
      </c>
      <c r="E10" s="30" t="s">
        <v>30</v>
      </c>
      <c r="F10" s="29" t="s">
        <v>483</v>
      </c>
      <c r="G10" s="3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ht="18.0" customHeight="1">
      <c r="A11" s="30">
        <f t="shared" si="1"/>
        <v>7</v>
      </c>
      <c r="B11" s="69" t="s">
        <v>486</v>
      </c>
      <c r="C11" s="29" t="s">
        <v>489</v>
      </c>
      <c r="D11" s="29" t="s">
        <v>490</v>
      </c>
      <c r="E11" s="29" t="s">
        <v>22</v>
      </c>
      <c r="F11" s="29" t="s">
        <v>491</v>
      </c>
      <c r="G11" s="11"/>
      <c r="H11" s="11"/>
      <c r="I11" s="11"/>
      <c r="J11" s="11"/>
      <c r="K11" s="11"/>
      <c r="L11" s="33"/>
      <c r="M11" s="33"/>
      <c r="N11" s="33"/>
      <c r="O11" s="11"/>
      <c r="P11" s="11"/>
      <c r="Q11" s="11"/>
      <c r="R11" s="11"/>
      <c r="S11" s="11"/>
    </row>
    <row r="12" ht="18.0" customHeight="1">
      <c r="A12" s="30">
        <f t="shared" si="1"/>
        <v>8</v>
      </c>
      <c r="B12" s="34" t="s">
        <v>494</v>
      </c>
      <c r="C12" s="29" t="s">
        <v>495</v>
      </c>
      <c r="D12" s="29" t="s">
        <v>498</v>
      </c>
      <c r="E12" s="29" t="s">
        <v>22</v>
      </c>
      <c r="F12" s="29" t="s">
        <v>499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ht="18.0" customHeight="1">
      <c r="A13" s="30">
        <f t="shared" si="1"/>
        <v>9</v>
      </c>
      <c r="B13" s="34" t="s">
        <v>501</v>
      </c>
      <c r="C13" s="29" t="s">
        <v>502</v>
      </c>
      <c r="D13" s="29" t="s">
        <v>504</v>
      </c>
      <c r="E13" s="29" t="s">
        <v>22</v>
      </c>
      <c r="F13" s="29" t="s">
        <v>507</v>
      </c>
      <c r="G13" s="11"/>
      <c r="H13" s="11"/>
      <c r="I13" s="31"/>
      <c r="J13" s="33"/>
      <c r="K13" s="33"/>
      <c r="L13" s="11"/>
      <c r="M13" s="11"/>
      <c r="N13" s="11"/>
      <c r="O13" s="11"/>
      <c r="P13" s="11"/>
      <c r="Q13" s="11"/>
      <c r="R13" s="11"/>
      <c r="S13" s="11"/>
    </row>
    <row r="14" ht="18.0" customHeight="1">
      <c r="A14" s="30">
        <f t="shared" si="1"/>
        <v>10</v>
      </c>
      <c r="B14" s="28" t="s">
        <v>512</v>
      </c>
      <c r="C14" s="29" t="s">
        <v>513</v>
      </c>
      <c r="D14" s="29" t="s">
        <v>514</v>
      </c>
      <c r="E14" s="30" t="s">
        <v>30</v>
      </c>
      <c r="F14" s="29" t="s">
        <v>515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ht="18.0" customHeight="1">
      <c r="A15" s="30">
        <f t="shared" si="1"/>
        <v>11</v>
      </c>
      <c r="B15" s="28" t="s">
        <v>519</v>
      </c>
      <c r="C15" s="29" t="s">
        <v>521</v>
      </c>
      <c r="D15" s="29" t="s">
        <v>522</v>
      </c>
      <c r="E15" s="29" t="s">
        <v>30</v>
      </c>
      <c r="F15" s="29" t="s">
        <v>523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ht="18.0" customHeight="1">
      <c r="A16" s="30">
        <f t="shared" si="1"/>
        <v>12</v>
      </c>
      <c r="B16" s="34" t="s">
        <v>525</v>
      </c>
      <c r="C16" s="29" t="s">
        <v>528</v>
      </c>
      <c r="D16" s="29" t="s">
        <v>529</v>
      </c>
      <c r="E16" s="29" t="s">
        <v>30</v>
      </c>
      <c r="F16" s="29" t="s">
        <v>531</v>
      </c>
      <c r="G16" s="11"/>
      <c r="H16" s="11"/>
      <c r="I16" s="11"/>
      <c r="J16" s="11"/>
      <c r="K16" s="11"/>
      <c r="L16" s="33"/>
      <c r="M16" s="33"/>
      <c r="N16" s="33"/>
      <c r="O16" s="33"/>
      <c r="P16" s="11"/>
      <c r="Q16" s="11"/>
      <c r="R16" s="11"/>
      <c r="S16" s="11"/>
    </row>
    <row r="17" ht="18.0" customHeight="1">
      <c r="A17" s="30">
        <f t="shared" si="1"/>
        <v>13</v>
      </c>
      <c r="B17" s="34" t="s">
        <v>534</v>
      </c>
      <c r="C17" s="29" t="s">
        <v>535</v>
      </c>
      <c r="D17" s="29" t="s">
        <v>538</v>
      </c>
      <c r="E17" s="29" t="s">
        <v>22</v>
      </c>
      <c r="F17" s="29" t="s">
        <v>539</v>
      </c>
      <c r="G17" s="5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ht="18.0" customHeight="1">
      <c r="A18" s="30">
        <f t="shared" si="1"/>
        <v>14</v>
      </c>
      <c r="B18" s="34" t="s">
        <v>541</v>
      </c>
      <c r="C18" s="29" t="s">
        <v>543</v>
      </c>
      <c r="D18" s="29" t="s">
        <v>545</v>
      </c>
      <c r="E18" s="30" t="s">
        <v>30</v>
      </c>
      <c r="F18" s="29" t="s">
        <v>547</v>
      </c>
      <c r="G18" s="11"/>
      <c r="H18" s="11"/>
      <c r="I18" s="11"/>
      <c r="J18" s="11"/>
      <c r="K18" s="31"/>
      <c r="L18" s="11"/>
      <c r="M18" s="11"/>
      <c r="N18" s="11"/>
      <c r="O18" s="11"/>
      <c r="P18" s="11"/>
      <c r="Q18" s="11"/>
      <c r="R18" s="11"/>
      <c r="S18" s="11"/>
    </row>
    <row r="19" ht="18.0" customHeight="1">
      <c r="A19" s="30">
        <f t="shared" si="1"/>
        <v>15</v>
      </c>
      <c r="B19" s="34" t="s">
        <v>549</v>
      </c>
      <c r="C19" s="29" t="s">
        <v>550</v>
      </c>
      <c r="D19" s="29" t="s">
        <v>552</v>
      </c>
      <c r="E19" s="29" t="s">
        <v>30</v>
      </c>
      <c r="F19" s="29" t="s">
        <v>555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ht="18.0" customHeight="1">
      <c r="A20" s="30">
        <f t="shared" si="1"/>
        <v>16</v>
      </c>
      <c r="B20" s="34" t="s">
        <v>558</v>
      </c>
      <c r="C20" s="30" t="s">
        <v>560</v>
      </c>
      <c r="D20" s="29" t="s">
        <v>562</v>
      </c>
      <c r="E20" s="30" t="s">
        <v>30</v>
      </c>
      <c r="F20" s="30" t="s">
        <v>564</v>
      </c>
      <c r="G20" s="5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ht="18.0" customHeight="1">
      <c r="A21" s="30">
        <f t="shared" si="1"/>
        <v>17</v>
      </c>
      <c r="B21" s="34" t="s">
        <v>568</v>
      </c>
      <c r="C21" s="29" t="s">
        <v>570</v>
      </c>
      <c r="D21" s="29" t="s">
        <v>571</v>
      </c>
      <c r="E21" s="11" t="s">
        <v>30</v>
      </c>
      <c r="F21" s="29" t="s">
        <v>574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ht="18.0" customHeight="1">
      <c r="A22" s="30">
        <f t="shared" si="1"/>
        <v>18</v>
      </c>
      <c r="B22" s="34" t="s">
        <v>576</v>
      </c>
      <c r="C22" s="29" t="s">
        <v>578</v>
      </c>
      <c r="D22" s="29" t="s">
        <v>579</v>
      </c>
      <c r="E22" s="29" t="s">
        <v>22</v>
      </c>
      <c r="F22" s="29" t="s">
        <v>581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ht="18.0" customHeight="1">
      <c r="A23" s="30">
        <f t="shared" si="1"/>
        <v>19</v>
      </c>
      <c r="B23" s="34" t="s">
        <v>585</v>
      </c>
      <c r="C23" s="30" t="s">
        <v>586</v>
      </c>
      <c r="D23" s="30" t="s">
        <v>588</v>
      </c>
      <c r="E23" s="30" t="s">
        <v>22</v>
      </c>
      <c r="F23" s="30" t="s">
        <v>592</v>
      </c>
      <c r="G23" s="3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ht="18.0" customHeight="1">
      <c r="A24" s="30">
        <f t="shared" si="1"/>
        <v>20</v>
      </c>
      <c r="B24" s="28" t="s">
        <v>596</v>
      </c>
      <c r="C24" s="29" t="s">
        <v>598</v>
      </c>
      <c r="D24" s="29" t="s">
        <v>599</v>
      </c>
      <c r="E24" s="29" t="s">
        <v>30</v>
      </c>
      <c r="F24" s="29" t="s">
        <v>602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ht="18.0" customHeight="1">
      <c r="A25" s="30">
        <f t="shared" si="1"/>
        <v>21</v>
      </c>
      <c r="B25" s="34" t="s">
        <v>606</v>
      </c>
      <c r="C25" s="29" t="s">
        <v>607</v>
      </c>
      <c r="D25" s="29" t="s">
        <v>608</v>
      </c>
      <c r="E25" s="30" t="s">
        <v>22</v>
      </c>
      <c r="F25" s="29" t="s">
        <v>610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ht="18.0" customHeight="1">
      <c r="A26" s="30">
        <f t="shared" si="1"/>
        <v>22</v>
      </c>
      <c r="B26" s="34" t="s">
        <v>614</v>
      </c>
      <c r="C26" s="30" t="s">
        <v>615</v>
      </c>
      <c r="D26" s="29" t="s">
        <v>616</v>
      </c>
      <c r="E26" s="30" t="s">
        <v>22</v>
      </c>
      <c r="F26" s="30" t="s">
        <v>617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ht="18.0" customHeight="1">
      <c r="A27" s="30">
        <f t="shared" si="1"/>
        <v>23</v>
      </c>
      <c r="B27" s="34" t="s">
        <v>622</v>
      </c>
      <c r="C27" s="29" t="s">
        <v>624</v>
      </c>
      <c r="D27" s="29" t="s">
        <v>625</v>
      </c>
      <c r="E27" s="29" t="s">
        <v>30</v>
      </c>
      <c r="F27" s="29" t="s">
        <v>627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ht="18.0" customHeight="1">
      <c r="A28" s="30">
        <f t="shared" si="1"/>
        <v>24</v>
      </c>
      <c r="B28" s="34" t="s">
        <v>632</v>
      </c>
      <c r="C28" s="29" t="s">
        <v>633</v>
      </c>
      <c r="D28" s="29" t="s">
        <v>635</v>
      </c>
      <c r="E28" s="30" t="s">
        <v>30</v>
      </c>
      <c r="F28" s="29" t="s">
        <v>636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ht="18.0" customHeight="1">
      <c r="A29" s="30">
        <f t="shared" si="1"/>
        <v>25</v>
      </c>
      <c r="B29" s="28" t="s">
        <v>641</v>
      </c>
      <c r="C29" s="29" t="s">
        <v>642</v>
      </c>
      <c r="D29" s="29" t="s">
        <v>643</v>
      </c>
      <c r="E29" s="30" t="s">
        <v>30</v>
      </c>
      <c r="F29" s="29" t="s">
        <v>644</v>
      </c>
      <c r="G29" s="3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ht="18.0" customHeight="1">
      <c r="A30" s="30">
        <f t="shared" si="1"/>
        <v>26</v>
      </c>
      <c r="B30" s="34" t="s">
        <v>648</v>
      </c>
      <c r="C30" s="29" t="s">
        <v>650</v>
      </c>
      <c r="D30" s="29" t="s">
        <v>651</v>
      </c>
      <c r="E30" s="29" t="s">
        <v>22</v>
      </c>
      <c r="F30" s="29" t="s">
        <v>652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ht="18.0" customHeight="1">
      <c r="A31" s="30">
        <f t="shared" si="1"/>
        <v>27</v>
      </c>
      <c r="B31" s="34" t="s">
        <v>657</v>
      </c>
      <c r="C31" s="29" t="s">
        <v>658</v>
      </c>
      <c r="D31" s="29" t="s">
        <v>659</v>
      </c>
      <c r="E31" s="29" t="s">
        <v>30</v>
      </c>
      <c r="F31" s="29" t="s">
        <v>661</v>
      </c>
      <c r="G31" s="58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ht="18.0" customHeight="1">
      <c r="A32" s="30">
        <f t="shared" si="1"/>
        <v>28</v>
      </c>
      <c r="B32" s="28" t="s">
        <v>666</v>
      </c>
      <c r="C32" s="29" t="s">
        <v>667</v>
      </c>
      <c r="D32" s="29" t="s">
        <v>668</v>
      </c>
      <c r="E32" s="30" t="s">
        <v>30</v>
      </c>
      <c r="F32" s="29" t="s">
        <v>669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ht="18.0" customHeight="1">
      <c r="A33" s="30">
        <f t="shared" si="1"/>
        <v>29</v>
      </c>
      <c r="B33" s="34" t="s">
        <v>672</v>
      </c>
      <c r="C33" s="29" t="s">
        <v>674</v>
      </c>
      <c r="D33" s="29" t="s">
        <v>675</v>
      </c>
      <c r="E33" s="30" t="s">
        <v>22</v>
      </c>
      <c r="F33" s="29" t="s">
        <v>677</v>
      </c>
      <c r="G33" s="58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ht="18.0" customHeight="1">
      <c r="A34" s="30"/>
      <c r="C34" s="11" t="s">
        <v>22</v>
      </c>
      <c r="D34" s="11">
        <f>COUNTIF(E3:E31,"M")</f>
        <v>13</v>
      </c>
      <c r="E34" s="11" t="s">
        <v>30</v>
      </c>
      <c r="F34" s="11">
        <f>COUNTIF(E3:E31,"F")</f>
        <v>14</v>
      </c>
      <c r="G34" s="3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ht="18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ht="18.0" customHeight="1">
      <c r="A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ht="18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ht="18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ht="18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ht="18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ht="18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ht="18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ht="18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ht="18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ht="18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ht="18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ht="18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ht="18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ht="18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ht="18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ht="18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ht="18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ht="18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ht="18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ht="18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ht="18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ht="18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ht="18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ht="18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ht="18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ht="18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ht="18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ht="18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ht="18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ht="18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ht="18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ht="18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ht="18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ht="18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ht="18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ht="18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ht="18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ht="18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ht="18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ht="18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ht="18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ht="18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ht="18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ht="18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ht="18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ht="18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ht="18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ht="18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ht="18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ht="18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ht="18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ht="18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ht="18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ht="18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ht="18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ht="18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ht="18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ht="18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ht="18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ht="18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ht="18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ht="18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ht="18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ht="18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ht="18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ht="18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ht="18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ht="18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ht="18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ht="18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ht="18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ht="18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ht="18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ht="18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ht="18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ht="18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ht="18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ht="18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ht="18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ht="18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ht="18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ht="18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ht="18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ht="18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ht="18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ht="18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ht="18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ht="18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ht="18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ht="18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ht="18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ht="18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ht="18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ht="18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ht="18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ht="18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ht="18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ht="18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ht="18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ht="18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ht="18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ht="18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ht="18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ht="18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ht="18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ht="18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ht="18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ht="18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ht="18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ht="18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ht="18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 ht="18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 ht="18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 ht="18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 ht="18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ht="18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 ht="18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ht="18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 ht="18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ht="18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ht="18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ht="18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 ht="18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 ht="18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 ht="18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 ht="18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 ht="18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 ht="18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 ht="18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 ht="18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 ht="18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 ht="18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 ht="18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 ht="18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 ht="18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 ht="18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 ht="18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 ht="18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 ht="18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 ht="18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 ht="18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 ht="18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 ht="18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 ht="18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 ht="18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 ht="18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  <row r="182" ht="18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ht="18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</row>
    <row r="184" ht="18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 ht="18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</row>
    <row r="186" ht="18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</row>
    <row r="187" ht="18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</row>
    <row r="188" ht="18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 ht="18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  <row r="190" ht="18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</row>
    <row r="191" ht="18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</row>
    <row r="192" ht="18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ht="18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</row>
    <row r="194" ht="18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</row>
    <row r="195" ht="18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</row>
    <row r="196" ht="18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</row>
    <row r="197" ht="18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</row>
    <row r="198" ht="18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</row>
    <row r="199" ht="18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</row>
    <row r="200" ht="18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</row>
    <row r="201" ht="18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</row>
    <row r="202" ht="18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</row>
    <row r="203" ht="18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</row>
    <row r="204" ht="18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</row>
    <row r="205" ht="18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</row>
    <row r="206" ht="18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</row>
    <row r="207" ht="18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</row>
    <row r="208" ht="18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</row>
    <row r="209" ht="18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</row>
    <row r="210" ht="18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</row>
    <row r="211" ht="18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</row>
    <row r="212" ht="18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</row>
    <row r="213" ht="18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</row>
    <row r="214" ht="18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</row>
    <row r="215" ht="18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</row>
    <row r="216" ht="18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</row>
    <row r="217" ht="18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 ht="18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</row>
    <row r="219" ht="18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</row>
    <row r="220" ht="18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</row>
    <row r="221" ht="18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</row>
    <row r="222" ht="18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</row>
    <row r="223" ht="18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</row>
    <row r="224" ht="18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</row>
    <row r="225" ht="18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</row>
    <row r="226" ht="18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</row>
    <row r="227" ht="18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</row>
    <row r="228" ht="18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</row>
    <row r="229" ht="18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</row>
    <row r="230" ht="18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</row>
    <row r="231" ht="18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 ht="18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</row>
    <row r="233" ht="18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</row>
    <row r="234" ht="18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1.13"/>
    <col customWidth="1" min="3" max="3" width="20.63"/>
    <col customWidth="1" min="4" max="4" width="16.0"/>
    <col customWidth="1" min="5" max="6" width="11.13"/>
    <col customWidth="1" min="7" max="7" width="18.38"/>
    <col customWidth="1" min="8" max="26" width="11.13"/>
  </cols>
  <sheetData>
    <row r="1" ht="18.0" customHeight="1">
      <c r="A1" s="4" t="s">
        <v>416</v>
      </c>
      <c r="B1" s="7"/>
      <c r="C1" s="7"/>
      <c r="D1" s="7"/>
      <c r="E1" s="7"/>
      <c r="F1" s="8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ht="18.0" customHeight="1">
      <c r="A2" s="17" t="s">
        <v>423</v>
      </c>
      <c r="B2" s="7"/>
      <c r="C2" s="7"/>
      <c r="D2" s="7"/>
      <c r="E2" s="7"/>
      <c r="F2" s="8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ht="18.0" customHeight="1">
      <c r="A3" s="4" t="s">
        <v>428</v>
      </c>
      <c r="B3" s="7"/>
      <c r="C3" s="7"/>
      <c r="D3" s="7"/>
      <c r="E3" s="7"/>
      <c r="F3" s="8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ht="18.0" customHeight="1">
      <c r="A4" s="48" t="s">
        <v>3</v>
      </c>
      <c r="B4" s="48" t="s">
        <v>4</v>
      </c>
      <c r="C4" s="48" t="s">
        <v>5</v>
      </c>
      <c r="D4" s="48" t="s">
        <v>6</v>
      </c>
      <c r="E4" s="48" t="s">
        <v>7</v>
      </c>
      <c r="F4" s="48" t="s">
        <v>8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ht="18.0" customHeight="1">
      <c r="A5" s="49">
        <v>1.0</v>
      </c>
      <c r="B5" s="50" t="s">
        <v>442</v>
      </c>
      <c r="C5" s="51" t="str">
        <f t="shared" ref="C5:C32" si="1">VLOOKUP(B5,#REF!, 2, FALSE)</f>
        <v>#REF!</v>
      </c>
      <c r="D5" s="52" t="s">
        <v>450</v>
      </c>
      <c r="E5" s="53" t="s">
        <v>22</v>
      </c>
      <c r="F5" s="54" t="s">
        <v>453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</row>
    <row r="6" ht="18.0" customHeight="1">
      <c r="A6" s="49">
        <v>2.0</v>
      </c>
      <c r="B6" s="55" t="s">
        <v>459</v>
      </c>
      <c r="C6" s="56" t="str">
        <f t="shared" si="1"/>
        <v>#REF!</v>
      </c>
      <c r="D6" s="52" t="s">
        <v>463</v>
      </c>
      <c r="E6" s="57" t="s">
        <v>22</v>
      </c>
      <c r="F6" s="55" t="s">
        <v>466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</row>
    <row r="7" ht="18.0" customHeight="1">
      <c r="A7" s="49">
        <v>3.0</v>
      </c>
      <c r="B7" s="60" t="s">
        <v>468</v>
      </c>
      <c r="C7" s="61" t="str">
        <f t="shared" si="1"/>
        <v>#REF!</v>
      </c>
      <c r="D7" s="52" t="s">
        <v>469</v>
      </c>
      <c r="E7" s="53" t="s">
        <v>30</v>
      </c>
      <c r="F7" s="62" t="s">
        <v>472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ht="18.0" customHeight="1">
      <c r="A8" s="49">
        <v>4.0</v>
      </c>
      <c r="B8" s="63" t="s">
        <v>476</v>
      </c>
      <c r="C8" s="64" t="str">
        <f t="shared" si="1"/>
        <v>#REF!</v>
      </c>
      <c r="D8" s="52" t="s">
        <v>477</v>
      </c>
      <c r="E8" s="53" t="s">
        <v>22</v>
      </c>
      <c r="F8" s="63" t="s">
        <v>479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</row>
    <row r="9" ht="18.0" customHeight="1">
      <c r="A9" s="49">
        <v>5.0</v>
      </c>
      <c r="B9" s="65" t="s">
        <v>484</v>
      </c>
      <c r="C9" s="66" t="str">
        <f t="shared" si="1"/>
        <v>#REF!</v>
      </c>
      <c r="D9" s="67" t="s">
        <v>485</v>
      </c>
      <c r="E9" s="68" t="s">
        <v>30</v>
      </c>
      <c r="F9" s="62" t="s">
        <v>487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ht="18.0" customHeight="1">
      <c r="A10" s="49">
        <v>6.0</v>
      </c>
      <c r="B10" s="68" t="s">
        <v>492</v>
      </c>
      <c r="C10" s="70" t="str">
        <f t="shared" si="1"/>
        <v>#REF!</v>
      </c>
      <c r="D10" s="67" t="s">
        <v>493</v>
      </c>
      <c r="E10" s="68" t="s">
        <v>30</v>
      </c>
      <c r="F10" s="71" t="s">
        <v>497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</row>
    <row r="11" ht="18.0" customHeight="1">
      <c r="A11" s="49">
        <v>7.0</v>
      </c>
      <c r="B11" s="72" t="s">
        <v>500</v>
      </c>
      <c r="C11" s="66" t="str">
        <f t="shared" si="1"/>
        <v>#REF!</v>
      </c>
      <c r="D11" s="67" t="s">
        <v>503</v>
      </c>
      <c r="E11" s="68" t="s">
        <v>30</v>
      </c>
      <c r="F11" s="62" t="s">
        <v>506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</row>
    <row r="12" ht="18.0" customHeight="1">
      <c r="A12" s="49">
        <v>8.0</v>
      </c>
      <c r="B12" s="68" t="s">
        <v>508</v>
      </c>
      <c r="C12" s="73" t="str">
        <f t="shared" si="1"/>
        <v>#REF!</v>
      </c>
      <c r="D12" s="67" t="s">
        <v>509</v>
      </c>
      <c r="E12" s="68" t="s">
        <v>30</v>
      </c>
      <c r="F12" s="57" t="s">
        <v>510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</row>
    <row r="13" ht="18.0" customHeight="1">
      <c r="A13" s="49">
        <v>9.0</v>
      </c>
      <c r="B13" s="74" t="s">
        <v>516</v>
      </c>
      <c r="C13" s="73" t="str">
        <f t="shared" si="1"/>
        <v>#REF!</v>
      </c>
      <c r="D13" s="67" t="s">
        <v>517</v>
      </c>
      <c r="E13" s="68" t="s">
        <v>22</v>
      </c>
      <c r="F13" s="71" t="s">
        <v>520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ht="27.0" customHeight="1">
      <c r="A14" s="49">
        <v>10.0</v>
      </c>
      <c r="B14" s="57" t="s">
        <v>524</v>
      </c>
      <c r="C14" s="75" t="str">
        <f t="shared" si="1"/>
        <v>#REF!</v>
      </c>
      <c r="D14" s="52" t="s">
        <v>527</v>
      </c>
      <c r="E14" s="53" t="s">
        <v>30</v>
      </c>
      <c r="F14" s="71" t="s">
        <v>530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ht="18.0" customHeight="1">
      <c r="A15" s="49">
        <v>11.0</v>
      </c>
      <c r="B15" s="76" t="s">
        <v>532</v>
      </c>
      <c r="C15" s="75" t="str">
        <f t="shared" si="1"/>
        <v>#REF!</v>
      </c>
      <c r="D15" s="52" t="s">
        <v>533</v>
      </c>
      <c r="E15" s="53" t="s">
        <v>22</v>
      </c>
      <c r="F15" s="71" t="s">
        <v>536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ht="18.0" customHeight="1">
      <c r="A16" s="77">
        <v>12.0</v>
      </c>
      <c r="B16" s="76" t="s">
        <v>540</v>
      </c>
      <c r="C16" s="75" t="str">
        <f t="shared" si="1"/>
        <v>#REF!</v>
      </c>
      <c r="D16" s="52" t="s">
        <v>542</v>
      </c>
      <c r="E16" s="53" t="s">
        <v>22</v>
      </c>
      <c r="F16" s="71" t="s">
        <v>546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ht="18.0" customHeight="1">
      <c r="A17" s="77">
        <v>13.0</v>
      </c>
      <c r="B17" s="63" t="s">
        <v>548</v>
      </c>
      <c r="C17" s="61" t="str">
        <f t="shared" si="1"/>
        <v>#REF!</v>
      </c>
      <c r="D17" s="52" t="s">
        <v>551</v>
      </c>
      <c r="E17" s="53" t="s">
        <v>22</v>
      </c>
      <c r="F17" s="62" t="s">
        <v>554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ht="18.0" customHeight="1">
      <c r="A18" s="49">
        <v>14.0</v>
      </c>
      <c r="B18" s="60" t="s">
        <v>556</v>
      </c>
      <c r="C18" s="64" t="str">
        <f t="shared" si="1"/>
        <v>#REF!</v>
      </c>
      <c r="D18" s="52" t="s">
        <v>557</v>
      </c>
      <c r="E18" s="53" t="s">
        <v>30</v>
      </c>
      <c r="F18" s="63" t="s">
        <v>559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ht="18.0" customHeight="1">
      <c r="A19" s="49">
        <v>15.0</v>
      </c>
      <c r="B19" s="57" t="s">
        <v>565</v>
      </c>
      <c r="C19" s="75" t="str">
        <f t="shared" si="1"/>
        <v>#REF!</v>
      </c>
      <c r="D19" s="52" t="s">
        <v>566</v>
      </c>
      <c r="E19" s="53" t="s">
        <v>30</v>
      </c>
      <c r="F19" s="57" t="s">
        <v>567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ht="18.0" customHeight="1">
      <c r="A20" s="77">
        <v>16.0</v>
      </c>
      <c r="B20" s="76" t="s">
        <v>569</v>
      </c>
      <c r="C20" s="78" t="str">
        <f t="shared" si="1"/>
        <v>#REF!</v>
      </c>
      <c r="D20" s="52" t="s">
        <v>573</v>
      </c>
      <c r="E20" s="53" t="s">
        <v>30</v>
      </c>
      <c r="F20" s="57" t="s">
        <v>575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</row>
    <row r="21" ht="18.0" customHeight="1">
      <c r="A21" s="77">
        <v>17.0</v>
      </c>
      <c r="B21" s="62" t="s">
        <v>577</v>
      </c>
      <c r="C21" s="61" t="str">
        <f t="shared" si="1"/>
        <v>#REF!</v>
      </c>
      <c r="D21" s="52" t="s">
        <v>580</v>
      </c>
      <c r="E21" s="63" t="s">
        <v>22</v>
      </c>
      <c r="F21" s="62" t="s">
        <v>582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</row>
    <row r="22" ht="18.0" customHeight="1">
      <c r="A22" s="77">
        <v>18.0</v>
      </c>
      <c r="B22" s="57" t="s">
        <v>584</v>
      </c>
      <c r="C22" s="78" t="str">
        <f t="shared" si="1"/>
        <v>#REF!</v>
      </c>
      <c r="D22" s="52" t="s">
        <v>587</v>
      </c>
      <c r="E22" s="57" t="s">
        <v>30</v>
      </c>
      <c r="F22" s="71" t="s">
        <v>589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</row>
    <row r="23" ht="18.0" customHeight="1">
      <c r="A23" s="77">
        <v>19.0</v>
      </c>
      <c r="B23" s="60" t="s">
        <v>591</v>
      </c>
      <c r="C23" s="61" t="str">
        <f t="shared" si="1"/>
        <v>#REF!</v>
      </c>
      <c r="D23" s="52" t="s">
        <v>593</v>
      </c>
      <c r="E23" s="57" t="s">
        <v>30</v>
      </c>
      <c r="F23" s="62" t="s">
        <v>594</v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</row>
    <row r="24" ht="18.0" customHeight="1">
      <c r="A24" s="77">
        <v>20.0</v>
      </c>
      <c r="B24" s="57" t="s">
        <v>595</v>
      </c>
      <c r="C24" s="78" t="str">
        <f t="shared" si="1"/>
        <v>#REF!</v>
      </c>
      <c r="D24" s="52" t="s">
        <v>597</v>
      </c>
      <c r="E24" s="57" t="s">
        <v>22</v>
      </c>
      <c r="F24" s="57" t="s">
        <v>600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</row>
    <row r="25" ht="18.0" customHeight="1">
      <c r="A25" s="77">
        <v>21.0</v>
      </c>
      <c r="B25" s="76" t="s">
        <v>603</v>
      </c>
      <c r="C25" s="75" t="str">
        <f t="shared" si="1"/>
        <v>#REF!</v>
      </c>
      <c r="D25" s="52" t="s">
        <v>604</v>
      </c>
      <c r="E25" s="57" t="s">
        <v>22</v>
      </c>
      <c r="F25" s="71" t="s">
        <v>605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</row>
    <row r="26" ht="18.0" customHeight="1">
      <c r="A26" s="77">
        <v>22.0</v>
      </c>
      <c r="B26" s="63" t="s">
        <v>611</v>
      </c>
      <c r="C26" s="61" t="str">
        <f t="shared" si="1"/>
        <v>#REF!</v>
      </c>
      <c r="D26" s="52" t="s">
        <v>612</v>
      </c>
      <c r="E26" s="63" t="s">
        <v>22</v>
      </c>
      <c r="F26" s="62" t="s">
        <v>613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</row>
    <row r="27" ht="18.0" customHeight="1">
      <c r="A27" s="77">
        <v>23.0</v>
      </c>
      <c r="B27" s="63" t="s">
        <v>619</v>
      </c>
      <c r="C27" s="61" t="str">
        <f t="shared" si="1"/>
        <v>#REF!</v>
      </c>
      <c r="D27" s="52" t="s">
        <v>620</v>
      </c>
      <c r="E27" s="57" t="s">
        <v>22</v>
      </c>
      <c r="F27" s="62" t="s">
        <v>621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</row>
    <row r="28" ht="18.0" customHeight="1">
      <c r="A28" s="77">
        <v>24.0</v>
      </c>
      <c r="B28" s="76" t="s">
        <v>623</v>
      </c>
      <c r="C28" s="78" t="str">
        <f t="shared" si="1"/>
        <v>#REF!</v>
      </c>
      <c r="D28" s="52" t="s">
        <v>626</v>
      </c>
      <c r="E28" s="57" t="s">
        <v>22</v>
      </c>
      <c r="F28" s="57" t="s">
        <v>628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</row>
    <row r="29" ht="18.0" customHeight="1">
      <c r="A29" s="77">
        <v>25.0</v>
      </c>
      <c r="B29" s="63" t="s">
        <v>630</v>
      </c>
      <c r="C29" s="61" t="str">
        <f t="shared" si="1"/>
        <v>#REF!</v>
      </c>
      <c r="D29" s="52" t="s">
        <v>631</v>
      </c>
      <c r="E29" s="57" t="s">
        <v>30</v>
      </c>
      <c r="F29" s="63" t="s">
        <v>634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</row>
    <row r="30" ht="18.0" customHeight="1">
      <c r="A30" s="77">
        <v>26.0</v>
      </c>
      <c r="B30" s="57" t="s">
        <v>638</v>
      </c>
      <c r="C30" s="75" t="str">
        <f t="shared" si="1"/>
        <v>#REF!</v>
      </c>
      <c r="D30" s="52" t="s">
        <v>639</v>
      </c>
      <c r="E30" s="57" t="s">
        <v>30</v>
      </c>
      <c r="F30" s="71" t="s">
        <v>640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</row>
    <row r="31" ht="18.0" customHeight="1">
      <c r="A31" s="77">
        <v>27.0</v>
      </c>
      <c r="B31" s="60" t="s">
        <v>645</v>
      </c>
      <c r="C31" s="64" t="str">
        <f t="shared" si="1"/>
        <v>#REF!</v>
      </c>
      <c r="D31" s="52" t="s">
        <v>647</v>
      </c>
      <c r="E31" s="57" t="s">
        <v>30</v>
      </c>
      <c r="F31" s="63" t="s">
        <v>649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</row>
    <row r="32" ht="18.0" customHeight="1">
      <c r="A32" s="77">
        <v>28.0</v>
      </c>
      <c r="B32" s="57" t="s">
        <v>653</v>
      </c>
      <c r="C32" s="75" t="str">
        <f t="shared" si="1"/>
        <v>#REF!</v>
      </c>
      <c r="D32" s="52" t="s">
        <v>655</v>
      </c>
      <c r="E32" s="57" t="s">
        <v>22</v>
      </c>
      <c r="F32" s="71" t="s">
        <v>656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</row>
    <row r="33" ht="18.0" customHeight="1">
      <c r="A33" s="77">
        <v>29.0</v>
      </c>
      <c r="B33" s="50" t="s">
        <v>660</v>
      </c>
      <c r="C33" s="64" t="s">
        <v>662</v>
      </c>
      <c r="D33" s="52" t="s">
        <v>663</v>
      </c>
      <c r="E33" s="53" t="s">
        <v>30</v>
      </c>
      <c r="F33" s="71" t="s">
        <v>664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</row>
    <row r="34" ht="18.0" customHeight="1">
      <c r="A34" s="77">
        <v>30.0</v>
      </c>
      <c r="B34" s="57" t="s">
        <v>670</v>
      </c>
      <c r="C34" s="75" t="str">
        <f>VLOOKUP(B34,#REF!, 2, FALSE)</f>
        <v>#REF!</v>
      </c>
      <c r="D34" s="52" t="s">
        <v>673</v>
      </c>
      <c r="E34" s="57" t="s">
        <v>30</v>
      </c>
      <c r="F34" s="57" t="s">
        <v>676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</row>
    <row r="35" ht="18.0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</row>
    <row r="36" ht="18.0" customHeight="1">
      <c r="A36" s="47"/>
      <c r="B36" s="47"/>
      <c r="C36" s="47" t="s">
        <v>22</v>
      </c>
      <c r="D36" s="47">
        <f>COUNTIF(E5:E34,"M")</f>
        <v>14</v>
      </c>
      <c r="E36" s="47" t="s">
        <v>30</v>
      </c>
      <c r="F36" s="47">
        <f>COUNTIF(E5:E34,"F")</f>
        <v>16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</row>
    <row r="37" ht="18.0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</row>
    <row r="38" ht="18.0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</row>
    <row r="39" ht="18.0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</row>
    <row r="40" ht="18.0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</row>
    <row r="41" ht="18.0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ht="18.0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ht="18.0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</row>
    <row r="44" ht="18.0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</row>
    <row r="45" ht="18.0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</row>
    <row r="46" ht="18.0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</row>
    <row r="47" ht="18.0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</row>
    <row r="48" ht="18.0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</row>
    <row r="49" ht="18.0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</row>
    <row r="50" ht="18.0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</row>
    <row r="51" ht="18.0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</row>
    <row r="52" ht="18.0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</row>
    <row r="53" ht="18.0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</row>
    <row r="54" ht="18.0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</row>
    <row r="55" ht="18.0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</row>
    <row r="56" ht="18.0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</row>
    <row r="57" ht="18.0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</row>
    <row r="58" ht="18.0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</row>
    <row r="59" ht="18.0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</row>
    <row r="60" ht="18.0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</row>
    <row r="61" ht="18.0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</row>
    <row r="62" ht="18.0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</row>
    <row r="63" ht="18.0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</row>
    <row r="64" ht="18.0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</row>
    <row r="65" ht="18.0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</row>
    <row r="66" ht="18.0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</row>
    <row r="67" ht="18.0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</row>
    <row r="68" ht="18.0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</row>
    <row r="69" ht="18.0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</row>
    <row r="70" ht="18.0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</row>
    <row r="71" ht="18.0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</row>
    <row r="72" ht="18.0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</row>
    <row r="73" ht="18.0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</row>
    <row r="74" ht="18.0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</row>
    <row r="75" ht="18.0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</row>
    <row r="76" ht="18.0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</row>
    <row r="77" ht="18.0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</row>
    <row r="78" ht="18.0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</row>
    <row r="79" ht="18.0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</row>
    <row r="80" ht="18.0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</row>
    <row r="81" ht="18.0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</row>
    <row r="82" ht="18.0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</row>
    <row r="83" ht="18.0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</row>
    <row r="84" ht="18.0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</row>
    <row r="85" ht="18.0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</row>
    <row r="86" ht="18.0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</row>
    <row r="87" ht="18.0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</row>
    <row r="88" ht="18.0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</row>
    <row r="89" ht="18.0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</row>
    <row r="90" ht="18.0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</row>
    <row r="91" ht="18.0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</row>
    <row r="92" ht="18.0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</row>
    <row r="93" ht="18.0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</row>
    <row r="94" ht="18.0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</row>
    <row r="95" ht="18.0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</row>
    <row r="96" ht="18.0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</row>
    <row r="97" ht="18.0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</row>
    <row r="98" ht="18.0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</row>
    <row r="99" ht="18.0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</row>
    <row r="100" ht="18.0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</row>
    <row r="101" ht="18.0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</row>
    <row r="102" ht="18.0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</row>
    <row r="103" ht="18.0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</row>
    <row r="104" ht="18.0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</row>
    <row r="105" ht="18.0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</row>
    <row r="106" ht="18.0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</row>
    <row r="107" ht="18.0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</row>
    <row r="108" ht="18.0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</row>
    <row r="109" ht="18.0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</row>
    <row r="110" ht="18.0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</row>
    <row r="111" ht="18.0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</row>
    <row r="112" ht="18.0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</row>
    <row r="113" ht="18.0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</row>
    <row r="114" ht="18.0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</row>
    <row r="115" ht="18.0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</row>
    <row r="116" ht="18.0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</row>
    <row r="117" ht="18.0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</row>
    <row r="118" ht="18.0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</row>
    <row r="119" ht="18.0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</row>
    <row r="120" ht="18.0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</row>
    <row r="121" ht="18.0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</row>
    <row r="122" ht="18.0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</row>
    <row r="123" ht="18.0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</row>
    <row r="124" ht="18.0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</row>
    <row r="125" ht="18.0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</row>
    <row r="126" ht="18.0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</row>
    <row r="127" ht="18.0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</row>
    <row r="128" ht="18.0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</row>
    <row r="129" ht="18.0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</row>
    <row r="130" ht="18.0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</row>
    <row r="131" ht="18.0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</row>
    <row r="132" ht="18.0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</row>
    <row r="133" ht="18.0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</row>
    <row r="134" ht="18.0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</row>
    <row r="135" ht="18.0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</row>
    <row r="136" ht="18.0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</row>
    <row r="137" ht="18.0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</row>
    <row r="138" ht="18.0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</row>
    <row r="139" ht="18.0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</row>
    <row r="140" ht="18.0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</row>
    <row r="141" ht="18.0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</row>
    <row r="142" ht="18.0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</row>
    <row r="143" ht="18.0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</row>
    <row r="144" ht="18.0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</row>
    <row r="145" ht="18.0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</row>
    <row r="146" ht="18.0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</row>
    <row r="147" ht="18.0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</row>
    <row r="148" ht="18.0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</row>
    <row r="149" ht="18.0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</row>
    <row r="150" ht="18.0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</row>
    <row r="151" ht="18.0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</row>
    <row r="152" ht="18.0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</row>
    <row r="153" ht="18.0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</row>
    <row r="154" ht="18.0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</row>
    <row r="155" ht="18.0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</row>
    <row r="156" ht="18.0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</row>
    <row r="157" ht="18.0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</row>
    <row r="158" ht="18.0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</row>
    <row r="159" ht="18.0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</row>
    <row r="160" ht="18.0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</row>
    <row r="161" ht="18.0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</row>
    <row r="162" ht="18.0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</row>
    <row r="163" ht="18.0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</row>
    <row r="164" ht="18.0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</row>
    <row r="165" ht="18.0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</row>
    <row r="166" ht="18.0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</row>
    <row r="167" ht="18.0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</row>
    <row r="168" ht="18.0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</row>
    <row r="169" ht="18.0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</row>
    <row r="170" ht="18.0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</row>
    <row r="171" ht="18.0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</row>
    <row r="172" ht="18.0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</row>
    <row r="173" ht="18.0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</row>
    <row r="174" ht="18.0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</row>
    <row r="175" ht="18.0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</row>
    <row r="176" ht="18.0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</row>
    <row r="177" ht="18.0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</row>
    <row r="178" ht="18.0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</row>
    <row r="179" ht="18.0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</row>
    <row r="180" ht="18.0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</row>
    <row r="181" ht="18.0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</row>
    <row r="182" ht="18.0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</row>
    <row r="183" ht="18.0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</row>
    <row r="184" ht="18.0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</row>
    <row r="185" ht="18.0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</row>
    <row r="186" ht="18.0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</row>
    <row r="187" ht="18.0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</row>
    <row r="188" ht="18.0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</row>
    <row r="189" ht="18.0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</row>
    <row r="190" ht="18.0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</row>
    <row r="191" ht="18.0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</row>
    <row r="192" ht="18.0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</row>
    <row r="193" ht="18.0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</row>
    <row r="194" ht="18.0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</row>
    <row r="195" ht="18.0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</row>
    <row r="196" ht="18.0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</row>
    <row r="197" ht="18.0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</row>
    <row r="198" ht="18.0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</row>
    <row r="199" ht="18.0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</row>
    <row r="200" ht="18.0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</row>
    <row r="201" ht="18.0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</row>
    <row r="202" ht="18.0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</row>
    <row r="203" ht="18.0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</row>
    <row r="204" ht="18.0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</row>
    <row r="205" ht="18.0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</row>
    <row r="206" ht="18.0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</row>
    <row r="207" ht="18.0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</row>
    <row r="208" ht="18.0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</row>
    <row r="209" ht="18.0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</row>
    <row r="210" ht="18.0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</row>
    <row r="211" ht="18.0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</row>
    <row r="212" ht="18.0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</row>
    <row r="213" ht="18.0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</row>
    <row r="214" ht="18.0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</row>
    <row r="215" ht="18.0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</row>
    <row r="216" ht="18.0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</row>
    <row r="217" ht="18.0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</row>
    <row r="218" ht="18.0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</row>
    <row r="219" ht="18.0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</row>
    <row r="220" ht="18.0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</row>
    <row r="221" ht="18.0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</row>
    <row r="222" ht="18.0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</row>
    <row r="223" ht="18.0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</row>
    <row r="224" ht="18.0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</row>
    <row r="225" ht="18.0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</row>
    <row r="226" ht="18.0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</row>
    <row r="227" ht="18.0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</row>
    <row r="228" ht="18.0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</row>
    <row r="229" ht="18.0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</row>
    <row r="230" ht="18.0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</row>
    <row r="231" ht="18.0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</row>
    <row r="232" ht="18.0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</row>
    <row r="233" ht="18.0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</row>
    <row r="234" ht="18.0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</row>
    <row r="235" ht="18.0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</row>
    <row r="236" ht="18.0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3.0"/>
    <col customWidth="1" min="3" max="3" width="36.13"/>
    <col customWidth="1" min="4" max="4" width="15.5"/>
    <col customWidth="1" min="5" max="26" width="11.13"/>
  </cols>
  <sheetData>
    <row r="1" ht="18.0" customHeight="1">
      <c r="A1" s="4" t="s">
        <v>818</v>
      </c>
      <c r="B1" s="7"/>
      <c r="C1" s="7"/>
      <c r="D1" s="7"/>
      <c r="E1" s="7"/>
      <c r="F1" s="8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ht="18.0" customHeight="1">
      <c r="A2" s="80" t="s">
        <v>823</v>
      </c>
      <c r="B2" s="7"/>
      <c r="C2" s="7"/>
      <c r="D2" s="7"/>
      <c r="E2" s="7"/>
      <c r="F2" s="8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ht="18.0" customHeight="1">
      <c r="A3" s="4" t="s">
        <v>828</v>
      </c>
      <c r="B3" s="7"/>
      <c r="C3" s="7"/>
      <c r="D3" s="7"/>
      <c r="E3" s="7"/>
      <c r="F3" s="8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</row>
    <row r="4" ht="18.0" customHeight="1">
      <c r="A4" s="48" t="s">
        <v>3</v>
      </c>
      <c r="B4" s="48" t="s">
        <v>4</v>
      </c>
      <c r="C4" s="48" t="s">
        <v>5</v>
      </c>
      <c r="D4" s="48" t="s">
        <v>6</v>
      </c>
      <c r="E4" s="48" t="s">
        <v>7</v>
      </c>
      <c r="F4" s="48" t="s">
        <v>8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ht="18.0" customHeight="1">
      <c r="A5" s="49">
        <v>1.0</v>
      </c>
      <c r="B5" s="55" t="s">
        <v>714</v>
      </c>
      <c r="C5" s="81" t="s">
        <v>715</v>
      </c>
      <c r="D5" s="52" t="s">
        <v>716</v>
      </c>
      <c r="E5" s="53" t="s">
        <v>22</v>
      </c>
      <c r="F5" s="71" t="s">
        <v>717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</row>
    <row r="6" ht="18.0" customHeight="1">
      <c r="A6" s="49">
        <f t="shared" ref="A6:A33" si="1">A5+1</f>
        <v>2</v>
      </c>
      <c r="B6" s="55" t="s">
        <v>718</v>
      </c>
      <c r="C6" s="82" t="s">
        <v>719</v>
      </c>
      <c r="D6" s="52" t="s">
        <v>720</v>
      </c>
      <c r="E6" s="53" t="s">
        <v>30</v>
      </c>
      <c r="F6" s="71" t="s">
        <v>721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</row>
    <row r="7" ht="18.0" customHeight="1">
      <c r="A7" s="49">
        <f t="shared" si="1"/>
        <v>3</v>
      </c>
      <c r="B7" s="55" t="s">
        <v>722</v>
      </c>
      <c r="C7" s="83" t="s">
        <v>723</v>
      </c>
      <c r="D7" s="52" t="s">
        <v>724</v>
      </c>
      <c r="E7" s="53" t="s">
        <v>30</v>
      </c>
      <c r="F7" s="71" t="s">
        <v>725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ht="18.0" customHeight="1">
      <c r="A8" s="49">
        <f t="shared" si="1"/>
        <v>4</v>
      </c>
      <c r="B8" s="60" t="s">
        <v>726</v>
      </c>
      <c r="C8" s="84" t="s">
        <v>727</v>
      </c>
      <c r="D8" s="52" t="s">
        <v>728</v>
      </c>
      <c r="E8" s="53" t="s">
        <v>22</v>
      </c>
      <c r="F8" s="71" t="s">
        <v>729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</row>
    <row r="9" ht="18.0" customHeight="1">
      <c r="A9" s="49">
        <f t="shared" si="1"/>
        <v>5</v>
      </c>
      <c r="B9" s="85" t="s">
        <v>730</v>
      </c>
      <c r="C9" s="86" t="s">
        <v>731</v>
      </c>
      <c r="D9" s="67" t="s">
        <v>732</v>
      </c>
      <c r="E9" s="53" t="s">
        <v>22</v>
      </c>
      <c r="F9" s="71" t="s">
        <v>733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ht="18.0" customHeight="1">
      <c r="A10" s="49">
        <f t="shared" si="1"/>
        <v>6</v>
      </c>
      <c r="B10" s="87" t="s">
        <v>734</v>
      </c>
      <c r="C10" s="67" t="s">
        <v>735</v>
      </c>
      <c r="D10" s="67" t="s">
        <v>736</v>
      </c>
      <c r="E10" s="53" t="s">
        <v>30</v>
      </c>
      <c r="F10" s="71" t="s">
        <v>737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ht="18.0" customHeight="1">
      <c r="A11" s="49">
        <f t="shared" si="1"/>
        <v>7</v>
      </c>
      <c r="B11" s="87" t="s">
        <v>738</v>
      </c>
      <c r="C11" s="88" t="s">
        <v>739</v>
      </c>
      <c r="D11" s="67" t="s">
        <v>740</v>
      </c>
      <c r="E11" s="53" t="s">
        <v>22</v>
      </c>
      <c r="F11" s="71" t="s">
        <v>741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</row>
    <row r="12" ht="18.0" customHeight="1">
      <c r="A12" s="49">
        <f t="shared" si="1"/>
        <v>8</v>
      </c>
      <c r="B12" s="55" t="s">
        <v>742</v>
      </c>
      <c r="C12" s="82" t="s">
        <v>743</v>
      </c>
      <c r="D12" s="52" t="s">
        <v>744</v>
      </c>
      <c r="E12" s="53" t="s">
        <v>30</v>
      </c>
      <c r="F12" s="71" t="s">
        <v>745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</row>
    <row r="13" ht="18.0" customHeight="1">
      <c r="A13" s="49">
        <f t="shared" si="1"/>
        <v>9</v>
      </c>
      <c r="B13" s="55" t="s">
        <v>746</v>
      </c>
      <c r="C13" s="83" t="s">
        <v>747</v>
      </c>
      <c r="D13" s="52" t="s">
        <v>748</v>
      </c>
      <c r="E13" s="53" t="s">
        <v>30</v>
      </c>
      <c r="F13" s="71" t="s">
        <v>749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</row>
    <row r="14" ht="21.75" customHeight="1">
      <c r="A14" s="49">
        <f t="shared" si="1"/>
        <v>10</v>
      </c>
      <c r="B14" s="55" t="s">
        <v>750</v>
      </c>
      <c r="C14" s="84" t="s">
        <v>751</v>
      </c>
      <c r="D14" s="52" t="s">
        <v>752</v>
      </c>
      <c r="E14" s="53" t="s">
        <v>30</v>
      </c>
      <c r="F14" s="71" t="s">
        <v>753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</row>
    <row r="15" ht="18.0" customHeight="1">
      <c r="A15" s="49">
        <f t="shared" si="1"/>
        <v>11</v>
      </c>
      <c r="B15" s="55" t="s">
        <v>754</v>
      </c>
      <c r="C15" s="83" t="s">
        <v>755</v>
      </c>
      <c r="D15" s="52" t="s">
        <v>756</v>
      </c>
      <c r="E15" s="53" t="s">
        <v>22</v>
      </c>
      <c r="F15" s="71" t="s">
        <v>757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</row>
    <row r="16" ht="18.0" customHeight="1">
      <c r="A16" s="49">
        <f t="shared" si="1"/>
        <v>12</v>
      </c>
      <c r="B16" s="55" t="s">
        <v>758</v>
      </c>
      <c r="C16" s="47" t="s">
        <v>759</v>
      </c>
      <c r="D16" s="52" t="s">
        <v>760</v>
      </c>
      <c r="E16" s="53" t="s">
        <v>30</v>
      </c>
      <c r="F16" s="71" t="s">
        <v>761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</row>
    <row r="17" ht="18.0" customHeight="1">
      <c r="A17" s="49">
        <f t="shared" si="1"/>
        <v>13</v>
      </c>
      <c r="B17" s="60" t="s">
        <v>762</v>
      </c>
      <c r="C17" s="81" t="s">
        <v>763</v>
      </c>
      <c r="D17" s="52" t="s">
        <v>764</v>
      </c>
      <c r="E17" s="53" t="s">
        <v>30</v>
      </c>
      <c r="F17" s="71" t="s">
        <v>765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</row>
    <row r="18" ht="18.0" customHeight="1">
      <c r="A18" s="49">
        <f t="shared" si="1"/>
        <v>14</v>
      </c>
      <c r="B18" s="60" t="s">
        <v>766</v>
      </c>
      <c r="C18" s="82" t="s">
        <v>767</v>
      </c>
      <c r="D18" s="52" t="s">
        <v>877</v>
      </c>
      <c r="E18" s="53" t="s">
        <v>22</v>
      </c>
      <c r="F18" s="71" t="s">
        <v>769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</row>
    <row r="19" ht="18.0" customHeight="1">
      <c r="A19" s="49">
        <f t="shared" si="1"/>
        <v>15</v>
      </c>
      <c r="B19" s="60" t="s">
        <v>770</v>
      </c>
      <c r="C19" s="86" t="s">
        <v>771</v>
      </c>
      <c r="D19" s="67" t="s">
        <v>772</v>
      </c>
      <c r="E19" s="53" t="s">
        <v>30</v>
      </c>
      <c r="F19" s="71" t="s">
        <v>773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</row>
    <row r="20" ht="18.0" customHeight="1">
      <c r="A20" s="49">
        <f t="shared" si="1"/>
        <v>16</v>
      </c>
      <c r="B20" s="55" t="s">
        <v>774</v>
      </c>
      <c r="C20" s="89" t="s">
        <v>775</v>
      </c>
      <c r="D20" s="67" t="s">
        <v>776</v>
      </c>
      <c r="E20" s="53" t="s">
        <v>22</v>
      </c>
      <c r="F20" s="71" t="s">
        <v>777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1" ht="18.0" customHeight="1">
      <c r="A21" s="49">
        <f t="shared" si="1"/>
        <v>17</v>
      </c>
      <c r="B21" s="90" t="s">
        <v>778</v>
      </c>
      <c r="C21" s="86" t="s">
        <v>779</v>
      </c>
      <c r="D21" s="67" t="s">
        <v>780</v>
      </c>
      <c r="E21" s="53" t="s">
        <v>22</v>
      </c>
      <c r="F21" s="71" t="s">
        <v>781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</row>
    <row r="22" ht="18.0" customHeight="1">
      <c r="A22" s="49">
        <f t="shared" si="1"/>
        <v>18</v>
      </c>
      <c r="B22" s="50" t="s">
        <v>782</v>
      </c>
      <c r="C22" s="67" t="s">
        <v>783</v>
      </c>
      <c r="D22" s="67" t="s">
        <v>784</v>
      </c>
      <c r="E22" s="53" t="s">
        <v>30</v>
      </c>
      <c r="F22" s="71" t="s">
        <v>785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</row>
    <row r="23" ht="18.0" customHeight="1">
      <c r="A23" s="49">
        <f t="shared" si="1"/>
        <v>19</v>
      </c>
      <c r="B23" s="55" t="s">
        <v>786</v>
      </c>
      <c r="C23" s="88" t="s">
        <v>787</v>
      </c>
      <c r="D23" s="67" t="s">
        <v>788</v>
      </c>
      <c r="E23" s="53" t="s">
        <v>30</v>
      </c>
      <c r="F23" s="71" t="s">
        <v>789</v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</row>
    <row r="24" ht="18.0" customHeight="1">
      <c r="A24" s="49">
        <f t="shared" si="1"/>
        <v>20</v>
      </c>
      <c r="B24" s="55" t="s">
        <v>790</v>
      </c>
      <c r="C24" s="91" t="s">
        <v>791</v>
      </c>
      <c r="D24" s="67" t="s">
        <v>792</v>
      </c>
      <c r="E24" s="53" t="s">
        <v>30</v>
      </c>
      <c r="F24" s="71" t="s">
        <v>793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</row>
    <row r="25" ht="18.0" customHeight="1">
      <c r="A25" s="49">
        <f t="shared" si="1"/>
        <v>21</v>
      </c>
      <c r="B25" s="55" t="s">
        <v>794</v>
      </c>
      <c r="C25" s="86" t="s">
        <v>795</v>
      </c>
      <c r="D25" s="67" t="s">
        <v>796</v>
      </c>
      <c r="E25" s="53" t="s">
        <v>30</v>
      </c>
      <c r="F25" s="71" t="s">
        <v>797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</row>
    <row r="26" ht="18.0" customHeight="1">
      <c r="A26" s="49">
        <f t="shared" si="1"/>
        <v>22</v>
      </c>
      <c r="B26" s="60" t="s">
        <v>798</v>
      </c>
      <c r="C26" s="84" t="s">
        <v>799</v>
      </c>
      <c r="D26" s="52" t="s">
        <v>800</v>
      </c>
      <c r="E26" s="53" t="s">
        <v>22</v>
      </c>
      <c r="F26" s="71" t="s">
        <v>801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</row>
    <row r="27" ht="18.0" customHeight="1">
      <c r="A27" s="49">
        <f t="shared" si="1"/>
        <v>23</v>
      </c>
      <c r="B27" s="55" t="s">
        <v>802</v>
      </c>
      <c r="C27" s="84" t="s">
        <v>803</v>
      </c>
      <c r="D27" s="52" t="s">
        <v>804</v>
      </c>
      <c r="E27" s="53" t="s">
        <v>30</v>
      </c>
      <c r="F27" s="71" t="s">
        <v>805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</row>
    <row r="28" ht="18.0" customHeight="1">
      <c r="A28" s="49">
        <f t="shared" si="1"/>
        <v>24</v>
      </c>
      <c r="B28" s="57" t="s">
        <v>806</v>
      </c>
      <c r="C28" s="92" t="s">
        <v>807</v>
      </c>
      <c r="D28" s="52" t="s">
        <v>808</v>
      </c>
      <c r="E28" s="57" t="s">
        <v>30</v>
      </c>
      <c r="F28" s="57" t="s">
        <v>809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</row>
    <row r="29" ht="18.0" customHeight="1">
      <c r="A29" s="49">
        <f t="shared" si="1"/>
        <v>25</v>
      </c>
      <c r="B29" s="55" t="s">
        <v>810</v>
      </c>
      <c r="C29" s="84" t="s">
        <v>811</v>
      </c>
      <c r="D29" s="52" t="s">
        <v>812</v>
      </c>
      <c r="E29" s="53" t="s">
        <v>22</v>
      </c>
      <c r="F29" s="71" t="s">
        <v>813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</row>
    <row r="30" ht="18.0" customHeight="1">
      <c r="A30" s="49">
        <f t="shared" si="1"/>
        <v>26</v>
      </c>
      <c r="B30" s="55" t="s">
        <v>814</v>
      </c>
      <c r="C30" s="84" t="s">
        <v>815</v>
      </c>
      <c r="D30" s="52" t="s">
        <v>816</v>
      </c>
      <c r="E30" s="53" t="s">
        <v>22</v>
      </c>
      <c r="F30" s="71" t="s">
        <v>817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</row>
    <row r="31" ht="18.0" customHeight="1">
      <c r="A31" s="49">
        <f t="shared" si="1"/>
        <v>27</v>
      </c>
      <c r="B31" s="55" t="s">
        <v>819</v>
      </c>
      <c r="C31" s="84" t="s">
        <v>820</v>
      </c>
      <c r="D31" s="52" t="s">
        <v>821</v>
      </c>
      <c r="E31" s="53" t="s">
        <v>22</v>
      </c>
      <c r="F31" s="71" t="s">
        <v>822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</row>
    <row r="32" ht="18.0" customHeight="1">
      <c r="A32" s="49">
        <f t="shared" si="1"/>
        <v>28</v>
      </c>
      <c r="B32" s="55" t="s">
        <v>824</v>
      </c>
      <c r="C32" s="84" t="s">
        <v>825</v>
      </c>
      <c r="D32" s="52" t="s">
        <v>826</v>
      </c>
      <c r="E32" s="53" t="s">
        <v>30</v>
      </c>
      <c r="F32" s="71" t="s">
        <v>827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</row>
    <row r="33" ht="18.0" customHeight="1">
      <c r="A33" s="49">
        <f t="shared" si="1"/>
        <v>29</v>
      </c>
      <c r="B33" s="55" t="s">
        <v>829</v>
      </c>
      <c r="C33" s="84" t="s">
        <v>830</v>
      </c>
      <c r="D33" s="52" t="s">
        <v>831</v>
      </c>
      <c r="E33" s="53" t="s">
        <v>22</v>
      </c>
      <c r="F33" s="71" t="s">
        <v>832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</row>
    <row r="34" ht="18.0" customHeight="1">
      <c r="A34" s="77"/>
      <c r="B34" s="57"/>
      <c r="C34" s="94"/>
      <c r="D34" s="52"/>
      <c r="E34" s="57"/>
      <c r="F34" s="5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</row>
    <row r="35" ht="18.0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6" ht="18.0" customHeight="1">
      <c r="A36" s="47"/>
      <c r="B36" s="47"/>
      <c r="C36" s="47" t="s">
        <v>22</v>
      </c>
      <c r="D36" s="47">
        <f>COUNTIF(E5:E34,"M")</f>
        <v>13</v>
      </c>
      <c r="E36" s="47" t="s">
        <v>30</v>
      </c>
      <c r="F36" s="47">
        <f>COUNTIF(E5:E34,"F")</f>
        <v>16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</row>
    <row r="37" ht="18.0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</row>
    <row r="38" ht="18.0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</row>
    <row r="39" ht="18.0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</row>
    <row r="40" ht="18.0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</row>
    <row r="41" ht="18.0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</row>
    <row r="42" ht="18.0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</row>
    <row r="43" ht="18.0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</row>
    <row r="44" ht="18.0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</row>
    <row r="45" ht="18.0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</row>
    <row r="46" ht="18.0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</row>
    <row r="47" ht="18.0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</row>
    <row r="48" ht="18.0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</row>
    <row r="49" ht="18.0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</row>
    <row r="50" ht="18.0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</row>
    <row r="51" ht="18.0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</row>
    <row r="52" ht="18.0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</row>
    <row r="53" ht="18.0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</row>
    <row r="54" ht="18.0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</row>
    <row r="55" ht="18.0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</row>
    <row r="56" ht="18.0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</row>
    <row r="57" ht="18.0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</row>
    <row r="58" ht="18.0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</row>
    <row r="59" ht="18.0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</row>
    <row r="60" ht="18.0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</row>
    <row r="61" ht="18.0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</row>
    <row r="62" ht="18.0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</row>
    <row r="63" ht="18.0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</row>
    <row r="64" ht="18.0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</row>
    <row r="65" ht="18.0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</row>
    <row r="66" ht="18.0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</row>
    <row r="67" ht="18.0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</row>
    <row r="68" ht="18.0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</row>
    <row r="69" ht="18.0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</row>
    <row r="70" ht="18.0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</row>
    <row r="71" ht="18.0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</row>
    <row r="72" ht="18.0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</row>
    <row r="73" ht="18.0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</row>
    <row r="74" ht="18.0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</row>
    <row r="75" ht="18.0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</row>
    <row r="76" ht="18.0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</row>
    <row r="77" ht="18.0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</row>
    <row r="78" ht="18.0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</row>
    <row r="79" ht="18.0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</row>
    <row r="80" ht="18.0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</row>
    <row r="81" ht="18.0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</row>
    <row r="82" ht="18.0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</row>
    <row r="83" ht="18.0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</row>
    <row r="84" ht="18.0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</row>
    <row r="85" ht="18.0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</row>
    <row r="86" ht="18.0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</row>
    <row r="87" ht="18.0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</row>
    <row r="88" ht="18.0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</row>
    <row r="89" ht="18.0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</row>
    <row r="90" ht="18.0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</row>
    <row r="91" ht="18.0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</row>
    <row r="92" ht="18.0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</row>
    <row r="93" ht="18.0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</row>
    <row r="94" ht="18.0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</row>
    <row r="95" ht="18.0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ht="18.0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</row>
    <row r="97" ht="18.0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</row>
    <row r="98" ht="18.0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</row>
    <row r="99" ht="18.0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ht="18.0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</row>
    <row r="101" ht="18.0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</row>
    <row r="102" ht="18.0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</row>
    <row r="103" ht="18.0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ht="18.0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</row>
    <row r="105" ht="18.0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</row>
    <row r="106" ht="18.0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</row>
    <row r="107" ht="18.0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ht="18.0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</row>
    <row r="109" ht="18.0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</row>
    <row r="110" ht="18.0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</row>
    <row r="111" ht="18.0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ht="18.0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</row>
    <row r="113" ht="18.0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</row>
    <row r="114" ht="18.0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</row>
    <row r="115" ht="18.0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ht="18.0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</row>
    <row r="117" ht="18.0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</row>
    <row r="118" ht="18.0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</row>
    <row r="119" ht="18.0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ht="18.0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</row>
    <row r="121" ht="18.0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</row>
    <row r="122" ht="18.0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</row>
    <row r="123" ht="18.0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ht="18.0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</row>
    <row r="125" ht="18.0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</row>
    <row r="126" ht="18.0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</row>
    <row r="127" ht="18.0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ht="18.0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</row>
    <row r="129" ht="18.0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</row>
    <row r="130" ht="18.0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</row>
    <row r="131" ht="18.0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ht="18.0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</row>
    <row r="133" ht="18.0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</row>
    <row r="134" ht="18.0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</row>
    <row r="135" ht="18.0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ht="18.0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</row>
    <row r="137" ht="18.0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</row>
    <row r="138" ht="18.0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</row>
    <row r="139" ht="18.0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ht="18.0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</row>
    <row r="141" ht="18.0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</row>
    <row r="142" ht="18.0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</row>
    <row r="143" ht="18.0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ht="18.0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</row>
    <row r="145" ht="18.0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</row>
    <row r="146" ht="18.0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</row>
    <row r="147" ht="18.0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ht="18.0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</row>
    <row r="149" ht="18.0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</row>
    <row r="150" ht="18.0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</row>
    <row r="151" ht="18.0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ht="18.0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</row>
    <row r="153" ht="18.0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</row>
    <row r="154" ht="18.0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</row>
    <row r="155" ht="18.0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ht="18.0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</row>
    <row r="157" ht="18.0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</row>
    <row r="158" ht="18.0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</row>
    <row r="159" ht="18.0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ht="18.0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</row>
    <row r="161" ht="18.0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</row>
    <row r="162" ht="18.0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</row>
    <row r="163" ht="18.0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ht="18.0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</row>
    <row r="165" ht="18.0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</row>
    <row r="166" ht="18.0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</row>
    <row r="167" ht="18.0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ht="18.0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</row>
    <row r="169" ht="18.0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</row>
    <row r="170" ht="18.0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</row>
    <row r="171" ht="18.0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ht="18.0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</row>
    <row r="173" ht="18.0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</row>
    <row r="174" ht="18.0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</row>
    <row r="175" ht="18.0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ht="18.0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</row>
    <row r="177" ht="18.0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</row>
    <row r="178" ht="18.0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</row>
    <row r="179" ht="18.0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ht="18.0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</row>
    <row r="181" ht="18.0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</row>
    <row r="182" ht="18.0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</row>
    <row r="183" ht="18.0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ht="18.0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</row>
    <row r="185" ht="18.0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</row>
    <row r="186" ht="18.0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</row>
    <row r="187" ht="18.0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ht="18.0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</row>
    <row r="189" ht="18.0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</row>
    <row r="190" ht="18.0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</row>
    <row r="191" ht="18.0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ht="18.0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</row>
    <row r="193" ht="18.0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</row>
    <row r="194" ht="18.0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</row>
    <row r="195" ht="18.0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ht="18.0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</row>
    <row r="197" ht="18.0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</row>
    <row r="198" ht="18.0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</row>
    <row r="199" ht="18.0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ht="18.0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</row>
    <row r="201" ht="18.0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</row>
    <row r="202" ht="18.0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</row>
    <row r="203" ht="18.0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ht="18.0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</row>
    <row r="205" ht="18.0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</row>
    <row r="206" ht="18.0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</row>
    <row r="207" ht="18.0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ht="18.0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 ht="18.0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</row>
    <row r="210" ht="18.0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</row>
    <row r="211" ht="18.0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ht="18.0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</row>
    <row r="213" ht="18.0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</row>
    <row r="214" ht="18.0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</row>
    <row r="215" ht="18.0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ht="18.0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 ht="18.0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</row>
    <row r="218" ht="18.0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</row>
    <row r="219" ht="18.0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ht="18.0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 ht="18.0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</row>
    <row r="222" ht="18.0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</row>
    <row r="223" ht="18.0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ht="18.0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 ht="18.0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</row>
    <row r="226" ht="18.0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</row>
    <row r="227" ht="18.0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ht="18.0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 ht="18.0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</row>
    <row r="230" ht="18.0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</row>
    <row r="231" ht="18.0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ht="18.0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 ht="18.0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</row>
    <row r="234" ht="18.0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</row>
    <row r="235" ht="18.0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ht="18.0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1.13"/>
    <col customWidth="1" min="3" max="3" width="19.5"/>
    <col customWidth="1" min="4" max="4" width="12.5"/>
    <col customWidth="1" min="5" max="6" width="11.13"/>
    <col customWidth="1" min="7" max="7" width="20.13"/>
    <col customWidth="1" min="8" max="26" width="11.13"/>
  </cols>
  <sheetData>
    <row r="1" ht="15.75" customHeight="1">
      <c r="A1" s="4" t="s">
        <v>922</v>
      </c>
      <c r="B1" s="7"/>
      <c r="C1" s="7"/>
      <c r="D1" s="7"/>
      <c r="E1" s="7"/>
      <c r="F1" s="8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ht="15.75" customHeight="1">
      <c r="A2" s="95" t="s">
        <v>927</v>
      </c>
      <c r="B2" s="7"/>
      <c r="C2" s="7"/>
      <c r="D2" s="7"/>
      <c r="E2" s="7"/>
      <c r="F2" s="8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ht="15.75" customHeight="1">
      <c r="A3" s="4" t="s">
        <v>932</v>
      </c>
      <c r="B3" s="7"/>
      <c r="C3" s="7"/>
      <c r="D3" s="7"/>
      <c r="E3" s="7"/>
      <c r="F3" s="8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ht="15.75" customHeight="1">
      <c r="A4" s="48" t="s">
        <v>3</v>
      </c>
      <c r="B4" s="48" t="s">
        <v>4</v>
      </c>
      <c r="C4" s="48" t="s">
        <v>5</v>
      </c>
      <c r="D4" s="48" t="s">
        <v>6</v>
      </c>
      <c r="E4" s="48" t="s">
        <v>7</v>
      </c>
      <c r="F4" s="48" t="s">
        <v>8</v>
      </c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</row>
    <row r="5" ht="15.75" customHeight="1">
      <c r="A5" s="77">
        <v>1.0</v>
      </c>
      <c r="B5" s="96" t="s">
        <v>833</v>
      </c>
      <c r="C5" s="97" t="s">
        <v>834</v>
      </c>
      <c r="D5" s="97" t="s">
        <v>835</v>
      </c>
      <c r="E5" s="98" t="s">
        <v>30</v>
      </c>
      <c r="F5" s="97" t="s">
        <v>836</v>
      </c>
      <c r="G5" s="99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</row>
    <row r="6" ht="15.75" customHeight="1">
      <c r="A6" s="77">
        <v>2.0</v>
      </c>
      <c r="B6" s="100" t="s">
        <v>837</v>
      </c>
      <c r="C6" s="101" t="s">
        <v>838</v>
      </c>
      <c r="D6" s="97" t="s">
        <v>839</v>
      </c>
      <c r="E6" s="98" t="s">
        <v>22</v>
      </c>
      <c r="F6" s="97" t="s">
        <v>840</v>
      </c>
      <c r="G6" s="99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</row>
    <row r="7" ht="15.75" customHeight="1">
      <c r="A7" s="77">
        <v>3.0</v>
      </c>
      <c r="B7" s="100" t="s">
        <v>841</v>
      </c>
      <c r="C7" s="102" t="s">
        <v>842</v>
      </c>
      <c r="D7" s="97" t="s">
        <v>843</v>
      </c>
      <c r="E7" s="98" t="s">
        <v>30</v>
      </c>
      <c r="F7" s="97" t="s">
        <v>844</v>
      </c>
      <c r="G7" s="99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8" ht="15.75" customHeight="1">
      <c r="A8" s="77">
        <v>4.0</v>
      </c>
      <c r="B8" s="100" t="s">
        <v>845</v>
      </c>
      <c r="C8" s="101" t="s">
        <v>846</v>
      </c>
      <c r="D8" s="97" t="s">
        <v>847</v>
      </c>
      <c r="E8" s="98" t="s">
        <v>22</v>
      </c>
      <c r="F8" s="97" t="s">
        <v>848</v>
      </c>
      <c r="G8" s="99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</row>
    <row r="9" ht="15.75" customHeight="1">
      <c r="A9" s="77">
        <v>5.0</v>
      </c>
      <c r="B9" s="96" t="s">
        <v>849</v>
      </c>
      <c r="C9" s="97" t="s">
        <v>850</v>
      </c>
      <c r="D9" s="97" t="s">
        <v>851</v>
      </c>
      <c r="E9" s="98" t="s">
        <v>22</v>
      </c>
      <c r="F9" s="97" t="s">
        <v>852</v>
      </c>
      <c r="G9" s="99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</row>
    <row r="10" ht="15.75" customHeight="1">
      <c r="A10" s="77">
        <v>6.0</v>
      </c>
      <c r="B10" s="96" t="s">
        <v>853</v>
      </c>
      <c r="C10" s="97" t="s">
        <v>854</v>
      </c>
      <c r="D10" s="97" t="s">
        <v>855</v>
      </c>
      <c r="E10" s="98" t="s">
        <v>30</v>
      </c>
      <c r="F10" s="97" t="s">
        <v>856</v>
      </c>
      <c r="G10" s="99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</row>
    <row r="11" ht="15.75" customHeight="1">
      <c r="A11" s="77">
        <v>7.0</v>
      </c>
      <c r="B11" s="96" t="s">
        <v>857</v>
      </c>
      <c r="C11" s="97" t="s">
        <v>858</v>
      </c>
      <c r="D11" s="97" t="s">
        <v>859</v>
      </c>
      <c r="E11" s="98" t="s">
        <v>30</v>
      </c>
      <c r="F11" s="97" t="s">
        <v>860</v>
      </c>
      <c r="G11" s="99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</row>
    <row r="12" ht="15.75" customHeight="1">
      <c r="A12" s="77">
        <v>8.0</v>
      </c>
      <c r="B12" s="96" t="s">
        <v>861</v>
      </c>
      <c r="C12" s="97" t="s">
        <v>862</v>
      </c>
      <c r="D12" s="97" t="s">
        <v>863</v>
      </c>
      <c r="E12" s="98" t="s">
        <v>22</v>
      </c>
      <c r="F12" s="97" t="s">
        <v>864</v>
      </c>
      <c r="G12" s="99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</row>
    <row r="13" ht="15.75" customHeight="1">
      <c r="A13" s="77">
        <v>9.0</v>
      </c>
      <c r="B13" s="100" t="s">
        <v>865</v>
      </c>
      <c r="C13" s="101" t="s">
        <v>866</v>
      </c>
      <c r="D13" s="97" t="s">
        <v>867</v>
      </c>
      <c r="E13" s="98" t="s">
        <v>22</v>
      </c>
      <c r="F13" s="97" t="s">
        <v>868</v>
      </c>
      <c r="G13" s="99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</row>
    <row r="14" ht="15.75" customHeight="1">
      <c r="A14" s="77">
        <v>10.0</v>
      </c>
      <c r="B14" s="100" t="s">
        <v>869</v>
      </c>
      <c r="C14" s="102" t="s">
        <v>870</v>
      </c>
      <c r="D14" s="97" t="s">
        <v>871</v>
      </c>
      <c r="E14" s="98" t="s">
        <v>22</v>
      </c>
      <c r="F14" s="97" t="s">
        <v>872</v>
      </c>
      <c r="G14" s="99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</row>
    <row r="15" ht="15.75" customHeight="1">
      <c r="A15" s="77">
        <v>11.0</v>
      </c>
      <c r="B15" s="100" t="s">
        <v>873</v>
      </c>
      <c r="C15" s="102" t="s">
        <v>874</v>
      </c>
      <c r="D15" s="97" t="s">
        <v>875</v>
      </c>
      <c r="E15" s="98" t="s">
        <v>22</v>
      </c>
      <c r="F15" s="97" t="s">
        <v>876</v>
      </c>
      <c r="G15" s="99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</row>
    <row r="16" ht="15.75" customHeight="1">
      <c r="A16" s="77">
        <v>12.0</v>
      </c>
      <c r="B16" s="96" t="s">
        <v>878</v>
      </c>
      <c r="C16" s="97" t="s">
        <v>879</v>
      </c>
      <c r="D16" s="97" t="s">
        <v>880</v>
      </c>
      <c r="E16" s="98" t="s">
        <v>30</v>
      </c>
      <c r="F16" s="97" t="s">
        <v>881</v>
      </c>
      <c r="G16" s="99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</row>
    <row r="17" ht="15.75" customHeight="1">
      <c r="A17" s="77">
        <v>13.0</v>
      </c>
      <c r="B17" s="100" t="s">
        <v>882</v>
      </c>
      <c r="C17" s="102" t="s">
        <v>883</v>
      </c>
      <c r="D17" s="97" t="s">
        <v>884</v>
      </c>
      <c r="E17" s="98" t="s">
        <v>22</v>
      </c>
      <c r="F17" s="97" t="s">
        <v>885</v>
      </c>
      <c r="G17" s="99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</row>
    <row r="18" ht="15.75" customHeight="1">
      <c r="A18" s="77">
        <v>14.0</v>
      </c>
      <c r="B18" s="96" t="s">
        <v>886</v>
      </c>
      <c r="C18" s="97" t="s">
        <v>887</v>
      </c>
      <c r="D18" s="97" t="s">
        <v>888</v>
      </c>
      <c r="E18" s="98" t="s">
        <v>30</v>
      </c>
      <c r="F18" s="97" t="s">
        <v>889</v>
      </c>
      <c r="G18" s="99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</row>
    <row r="19" ht="15.75" customHeight="1">
      <c r="A19" s="77">
        <v>15.0</v>
      </c>
      <c r="B19" s="96" t="s">
        <v>890</v>
      </c>
      <c r="C19" s="97" t="s">
        <v>891</v>
      </c>
      <c r="D19" s="97" t="s">
        <v>892</v>
      </c>
      <c r="E19" s="98" t="s">
        <v>22</v>
      </c>
      <c r="F19" s="97" t="s">
        <v>893</v>
      </c>
      <c r="G19" s="99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</row>
    <row r="20" ht="15.75" customHeight="1">
      <c r="A20" s="77">
        <v>16.0</v>
      </c>
      <c r="B20" s="103" t="s">
        <v>894</v>
      </c>
      <c r="C20" s="104" t="s">
        <v>895</v>
      </c>
      <c r="D20" s="97" t="s">
        <v>896</v>
      </c>
      <c r="E20" s="98" t="s">
        <v>22</v>
      </c>
      <c r="F20" s="97" t="s">
        <v>897</v>
      </c>
      <c r="G20" s="99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</row>
    <row r="21" ht="15.75" customHeight="1">
      <c r="A21" s="77">
        <v>17.0</v>
      </c>
      <c r="B21" s="100" t="s">
        <v>898</v>
      </c>
      <c r="C21" s="101" t="s">
        <v>899</v>
      </c>
      <c r="D21" s="97" t="s">
        <v>900</v>
      </c>
      <c r="E21" s="98" t="s">
        <v>30</v>
      </c>
      <c r="F21" s="97" t="s">
        <v>901</v>
      </c>
      <c r="G21" s="99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</row>
    <row r="22" ht="15.75" customHeight="1">
      <c r="A22" s="77">
        <v>18.0</v>
      </c>
      <c r="B22" s="100" t="s">
        <v>902</v>
      </c>
      <c r="C22" s="101" t="s">
        <v>903</v>
      </c>
      <c r="D22" s="97" t="s">
        <v>904</v>
      </c>
      <c r="E22" s="98" t="s">
        <v>22</v>
      </c>
      <c r="F22" s="97" t="s">
        <v>905</v>
      </c>
      <c r="G22" s="99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</row>
    <row r="23" ht="15.75" customHeight="1">
      <c r="A23" s="77">
        <v>19.0</v>
      </c>
      <c r="B23" s="96" t="s">
        <v>906</v>
      </c>
      <c r="C23" s="97" t="s">
        <v>907</v>
      </c>
      <c r="D23" s="97" t="s">
        <v>908</v>
      </c>
      <c r="E23" s="98" t="s">
        <v>30</v>
      </c>
      <c r="F23" s="97" t="s">
        <v>909</v>
      </c>
      <c r="G23" s="99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</row>
    <row r="24" ht="15.75" customHeight="1">
      <c r="A24" s="77">
        <v>20.0</v>
      </c>
      <c r="B24" s="96" t="s">
        <v>910</v>
      </c>
      <c r="C24" s="97" t="s">
        <v>911</v>
      </c>
      <c r="D24" s="97" t="s">
        <v>912</v>
      </c>
      <c r="E24" s="98" t="s">
        <v>22</v>
      </c>
      <c r="F24" s="97" t="s">
        <v>913</v>
      </c>
      <c r="G24" s="99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</row>
    <row r="25" ht="15.75" customHeight="1">
      <c r="A25" s="77">
        <v>21.0</v>
      </c>
      <c r="B25" s="100" t="s">
        <v>914</v>
      </c>
      <c r="C25" s="101" t="s">
        <v>915</v>
      </c>
      <c r="D25" s="97" t="s">
        <v>916</v>
      </c>
      <c r="E25" s="98" t="s">
        <v>22</v>
      </c>
      <c r="F25" s="97" t="s">
        <v>917</v>
      </c>
      <c r="G25" s="99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</row>
    <row r="26" ht="15.75" customHeight="1">
      <c r="A26" s="77">
        <v>22.0</v>
      </c>
      <c r="B26" s="77" t="s">
        <v>918</v>
      </c>
      <c r="C26" s="97" t="s">
        <v>919</v>
      </c>
      <c r="D26" s="105" t="s">
        <v>920</v>
      </c>
      <c r="E26" s="106" t="s">
        <v>30</v>
      </c>
      <c r="F26" s="107" t="s">
        <v>921</v>
      </c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</row>
    <row r="27" ht="15.75" customHeight="1">
      <c r="A27" s="77">
        <v>23.0</v>
      </c>
      <c r="B27" s="100" t="s">
        <v>923</v>
      </c>
      <c r="C27" s="101" t="s">
        <v>924</v>
      </c>
      <c r="D27" s="97" t="s">
        <v>925</v>
      </c>
      <c r="E27" s="98" t="s">
        <v>30</v>
      </c>
      <c r="F27" s="97" t="s">
        <v>926</v>
      </c>
      <c r="G27" s="99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</row>
    <row r="28" ht="15.75" customHeight="1">
      <c r="A28" s="77">
        <v>24.0</v>
      </c>
      <c r="B28" s="96" t="s">
        <v>928</v>
      </c>
      <c r="C28" s="104" t="s">
        <v>929</v>
      </c>
      <c r="D28" s="97" t="s">
        <v>930</v>
      </c>
      <c r="E28" s="98" t="s">
        <v>22</v>
      </c>
      <c r="F28" s="97" t="s">
        <v>931</v>
      </c>
      <c r="G28" s="99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</row>
    <row r="29" ht="15.75" customHeight="1">
      <c r="A29" s="77">
        <v>25.0</v>
      </c>
      <c r="B29" s="96" t="s">
        <v>933</v>
      </c>
      <c r="C29" s="97" t="s">
        <v>934</v>
      </c>
      <c r="D29" s="97" t="s">
        <v>935</v>
      </c>
      <c r="E29" s="98" t="s">
        <v>30</v>
      </c>
      <c r="F29" s="97" t="s">
        <v>936</v>
      </c>
      <c r="G29" s="99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</row>
    <row r="30" ht="15.75" customHeight="1">
      <c r="A30" s="77">
        <v>26.0</v>
      </c>
      <c r="B30" s="100" t="s">
        <v>937</v>
      </c>
      <c r="C30" s="101" t="s">
        <v>938</v>
      </c>
      <c r="D30" s="97" t="s">
        <v>939</v>
      </c>
      <c r="E30" s="98" t="s">
        <v>30</v>
      </c>
      <c r="F30" s="97" t="s">
        <v>940</v>
      </c>
      <c r="G30" s="99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</row>
    <row r="31" ht="15.75" customHeight="1">
      <c r="A31" s="77">
        <v>27.0</v>
      </c>
      <c r="B31" s="100" t="s">
        <v>941</v>
      </c>
      <c r="C31" s="102" t="s">
        <v>942</v>
      </c>
      <c r="D31" s="97" t="s">
        <v>943</v>
      </c>
      <c r="E31" s="98" t="s">
        <v>30</v>
      </c>
      <c r="F31" s="97" t="s">
        <v>944</v>
      </c>
      <c r="G31" s="99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ht="15.75" customHeight="1">
      <c r="A32" s="77">
        <v>28.0</v>
      </c>
      <c r="B32" s="100" t="s">
        <v>945</v>
      </c>
      <c r="C32" s="101" t="s">
        <v>946</v>
      </c>
      <c r="D32" s="97" t="s">
        <v>947</v>
      </c>
      <c r="E32" s="98" t="s">
        <v>30</v>
      </c>
      <c r="F32" s="97" t="s">
        <v>948</v>
      </c>
      <c r="G32" s="99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</row>
    <row r="33" ht="15.75" customHeight="1">
      <c r="A33" s="77">
        <v>29.0</v>
      </c>
      <c r="B33" s="100" t="s">
        <v>949</v>
      </c>
      <c r="C33" s="101" t="s">
        <v>950</v>
      </c>
      <c r="D33" s="97" t="s">
        <v>951</v>
      </c>
      <c r="E33" s="98" t="s">
        <v>30</v>
      </c>
      <c r="F33" s="97" t="s">
        <v>952</v>
      </c>
      <c r="G33" s="99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</row>
    <row r="34" ht="15.75" customHeight="1">
      <c r="A34" s="77">
        <v>30.0</v>
      </c>
      <c r="B34" s="100" t="s">
        <v>953</v>
      </c>
      <c r="C34" s="101" t="s">
        <v>954</v>
      </c>
      <c r="D34" s="97" t="s">
        <v>955</v>
      </c>
      <c r="E34" s="98" t="s">
        <v>30</v>
      </c>
      <c r="F34" s="97" t="s">
        <v>956</v>
      </c>
      <c r="G34" s="99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</row>
    <row r="35" ht="15.75" customHeight="1">
      <c r="A35" s="77">
        <v>31.0</v>
      </c>
      <c r="B35" s="96" t="s">
        <v>957</v>
      </c>
      <c r="C35" s="97" t="s">
        <v>958</v>
      </c>
      <c r="D35" s="97" t="s">
        <v>959</v>
      </c>
      <c r="E35" s="98" t="s">
        <v>22</v>
      </c>
      <c r="F35" s="97" t="s">
        <v>960</v>
      </c>
      <c r="G35" s="99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</row>
    <row r="36" ht="15.75" customHeight="1">
      <c r="A36" s="77">
        <v>32.0</v>
      </c>
      <c r="B36" s="96" t="s">
        <v>961</v>
      </c>
      <c r="C36" s="104" t="s">
        <v>962</v>
      </c>
      <c r="D36" s="97" t="s">
        <v>963</v>
      </c>
      <c r="E36" s="98" t="s">
        <v>30</v>
      </c>
      <c r="F36" s="97" t="s">
        <v>964</v>
      </c>
      <c r="G36" s="99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</row>
    <row r="37" ht="15.75" customHeight="1">
      <c r="A37" s="77">
        <v>33.0</v>
      </c>
      <c r="B37" s="100" t="s">
        <v>965</v>
      </c>
      <c r="C37" s="101" t="s">
        <v>966</v>
      </c>
      <c r="D37" s="97" t="s">
        <v>967</v>
      </c>
      <c r="E37" s="98" t="s">
        <v>30</v>
      </c>
      <c r="F37" s="97" t="s">
        <v>968</v>
      </c>
      <c r="G37" s="99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</row>
    <row r="38" ht="15.75" customHeight="1">
      <c r="A38" s="93"/>
      <c r="B38" s="93"/>
      <c r="C38" s="93" t="s">
        <v>22</v>
      </c>
      <c r="D38" s="93">
        <f>COUNTIF(E5:E37,"M")</f>
        <v>15</v>
      </c>
      <c r="E38" s="93" t="s">
        <v>30</v>
      </c>
      <c r="F38" s="93">
        <f>COUNTIF(E5:E37,"F")</f>
        <v>18</v>
      </c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</row>
    <row r="39" ht="15.7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</row>
    <row r="40" ht="15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</row>
    <row r="41" ht="15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</row>
    <row r="42" ht="15.7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</row>
    <row r="43" ht="15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</row>
    <row r="44" ht="15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</row>
    <row r="55" ht="15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1.13"/>
    <col customWidth="1" min="3" max="3" width="29.5"/>
    <col customWidth="1" min="4" max="4" width="17.75"/>
    <col customWidth="1" min="5" max="26" width="11.13"/>
  </cols>
  <sheetData>
    <row r="1" ht="15.75" customHeight="1">
      <c r="A1" s="4" t="s">
        <v>1025</v>
      </c>
      <c r="B1" s="7"/>
      <c r="C1" s="7"/>
      <c r="D1" s="7"/>
      <c r="E1" s="7"/>
      <c r="F1" s="8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</row>
    <row r="2" ht="15.75" customHeight="1">
      <c r="A2" s="95" t="s">
        <v>1033</v>
      </c>
      <c r="B2" s="7"/>
      <c r="C2" s="7"/>
      <c r="D2" s="7"/>
      <c r="E2" s="7"/>
      <c r="F2" s="8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ht="15.75" customHeight="1">
      <c r="A3" s="4" t="s">
        <v>1038</v>
      </c>
      <c r="B3" s="7"/>
      <c r="C3" s="7"/>
      <c r="D3" s="7"/>
      <c r="E3" s="7"/>
      <c r="F3" s="8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</row>
    <row r="4" ht="15.75" customHeight="1">
      <c r="A4" s="48" t="s">
        <v>3</v>
      </c>
      <c r="B4" s="48" t="s">
        <v>4</v>
      </c>
      <c r="C4" s="48" t="s">
        <v>5</v>
      </c>
      <c r="D4" s="48" t="s">
        <v>6</v>
      </c>
      <c r="E4" s="48" t="s">
        <v>7</v>
      </c>
      <c r="F4" s="48" t="s">
        <v>8</v>
      </c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</row>
    <row r="5" ht="15.75" customHeight="1">
      <c r="A5" s="77">
        <v>1.0</v>
      </c>
      <c r="B5" s="108" t="s">
        <v>969</v>
      </c>
      <c r="C5" s="99" t="s">
        <v>970</v>
      </c>
      <c r="D5" s="99" t="s">
        <v>971</v>
      </c>
      <c r="E5" s="109" t="s">
        <v>30</v>
      </c>
      <c r="F5" s="99" t="s">
        <v>972</v>
      </c>
      <c r="G5" s="99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ht="15.75" customHeight="1">
      <c r="A6" s="77">
        <f t="shared" ref="A6:A34" si="1">A5+1</f>
        <v>2</v>
      </c>
      <c r="B6" s="110" t="s">
        <v>973</v>
      </c>
      <c r="C6" s="111" t="s">
        <v>974</v>
      </c>
      <c r="D6" s="112" t="s">
        <v>975</v>
      </c>
      <c r="E6" s="113" t="s">
        <v>30</v>
      </c>
      <c r="F6" s="112" t="s">
        <v>976</v>
      </c>
      <c r="G6" s="99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</row>
    <row r="7" ht="15.75" customHeight="1">
      <c r="A7" s="77">
        <f t="shared" si="1"/>
        <v>3</v>
      </c>
      <c r="B7" s="114"/>
      <c r="C7" s="104" t="s">
        <v>978</v>
      </c>
      <c r="D7" s="97" t="s">
        <v>1060</v>
      </c>
      <c r="E7" s="98" t="s">
        <v>30</v>
      </c>
      <c r="F7" s="97" t="s">
        <v>980</v>
      </c>
      <c r="G7" s="99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</row>
    <row r="8" ht="15.75" customHeight="1">
      <c r="A8" s="77">
        <f t="shared" si="1"/>
        <v>4</v>
      </c>
      <c r="B8" s="96" t="s">
        <v>981</v>
      </c>
      <c r="C8" s="104" t="s">
        <v>982</v>
      </c>
      <c r="D8" s="97" t="s">
        <v>983</v>
      </c>
      <c r="E8" s="98" t="s">
        <v>22</v>
      </c>
      <c r="F8" s="97" t="s">
        <v>984</v>
      </c>
      <c r="G8" s="99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</row>
    <row r="9" ht="15.75" customHeight="1">
      <c r="A9" s="77">
        <f t="shared" si="1"/>
        <v>5</v>
      </c>
      <c r="B9" s="96" t="s">
        <v>985</v>
      </c>
      <c r="C9" s="97" t="s">
        <v>986</v>
      </c>
      <c r="D9" s="97" t="s">
        <v>987</v>
      </c>
      <c r="E9" s="98" t="s">
        <v>30</v>
      </c>
      <c r="F9" s="97" t="s">
        <v>988</v>
      </c>
      <c r="G9" s="99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</row>
    <row r="10" ht="15.75" customHeight="1">
      <c r="A10" s="77">
        <f t="shared" si="1"/>
        <v>6</v>
      </c>
      <c r="B10" s="96" t="s">
        <v>989</v>
      </c>
      <c r="C10" s="97" t="s">
        <v>990</v>
      </c>
      <c r="D10" s="97" t="s">
        <v>991</v>
      </c>
      <c r="E10" s="98" t="s">
        <v>30</v>
      </c>
      <c r="F10" s="97" t="s">
        <v>992</v>
      </c>
      <c r="G10" s="99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</row>
    <row r="11" ht="15.75" customHeight="1">
      <c r="A11" s="77">
        <f t="shared" si="1"/>
        <v>7</v>
      </c>
      <c r="B11" s="96" t="s">
        <v>993</v>
      </c>
      <c r="C11" s="104" t="s">
        <v>994</v>
      </c>
      <c r="D11" s="97" t="s">
        <v>995</v>
      </c>
      <c r="E11" s="98" t="s">
        <v>30</v>
      </c>
      <c r="F11" s="97" t="s">
        <v>996</v>
      </c>
      <c r="G11" s="99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</row>
    <row r="12" ht="15.75" customHeight="1">
      <c r="A12" s="77">
        <f t="shared" si="1"/>
        <v>8</v>
      </c>
      <c r="B12" s="96" t="s">
        <v>997</v>
      </c>
      <c r="C12" s="104" t="s">
        <v>998</v>
      </c>
      <c r="D12" s="97" t="s">
        <v>999</v>
      </c>
      <c r="E12" s="98" t="s">
        <v>22</v>
      </c>
      <c r="F12" s="97" t="s">
        <v>1000</v>
      </c>
      <c r="G12" s="99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</row>
    <row r="13" ht="15.75" customHeight="1">
      <c r="A13" s="77">
        <f t="shared" si="1"/>
        <v>9</v>
      </c>
      <c r="B13" s="100" t="s">
        <v>1001</v>
      </c>
      <c r="C13" s="101" t="s">
        <v>1002</v>
      </c>
      <c r="D13" s="97" t="s">
        <v>1003</v>
      </c>
      <c r="E13" s="98" t="s">
        <v>22</v>
      </c>
      <c r="F13" s="97" t="s">
        <v>1004</v>
      </c>
      <c r="G13" s="99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</row>
    <row r="14" ht="15.75" customHeight="1">
      <c r="A14" s="77">
        <f t="shared" si="1"/>
        <v>10</v>
      </c>
      <c r="B14" s="96" t="s">
        <v>1005</v>
      </c>
      <c r="C14" s="97" t="s">
        <v>1006</v>
      </c>
      <c r="D14" s="97" t="s">
        <v>1007</v>
      </c>
      <c r="E14" s="98" t="s">
        <v>30</v>
      </c>
      <c r="F14" s="97" t="s">
        <v>1008</v>
      </c>
      <c r="G14" s="99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</row>
    <row r="15" ht="15.75" customHeight="1">
      <c r="A15" s="77">
        <f t="shared" si="1"/>
        <v>11</v>
      </c>
      <c r="B15" s="100" t="s">
        <v>1009</v>
      </c>
      <c r="C15" s="101" t="s">
        <v>1010</v>
      </c>
      <c r="D15" s="97" t="s">
        <v>1011</v>
      </c>
      <c r="E15" s="98" t="s">
        <v>30</v>
      </c>
      <c r="F15" s="97" t="s">
        <v>1012</v>
      </c>
      <c r="G15" s="99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</row>
    <row r="16" ht="15.75" customHeight="1">
      <c r="A16" s="77">
        <f t="shared" si="1"/>
        <v>12</v>
      </c>
      <c r="B16" s="96" t="s">
        <v>1013</v>
      </c>
      <c r="C16" s="104" t="s">
        <v>1014</v>
      </c>
      <c r="D16" s="97" t="s">
        <v>1015</v>
      </c>
      <c r="E16" s="98" t="s">
        <v>22</v>
      </c>
      <c r="F16" s="97" t="s">
        <v>1016</v>
      </c>
      <c r="G16" s="115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</row>
    <row r="17" ht="15.75" customHeight="1">
      <c r="A17" s="77">
        <f t="shared" si="1"/>
        <v>13</v>
      </c>
      <c r="B17" s="100" t="s">
        <v>1017</v>
      </c>
      <c r="C17" s="102" t="s">
        <v>1018</v>
      </c>
      <c r="D17" s="97" t="s">
        <v>1019</v>
      </c>
      <c r="E17" s="98" t="s">
        <v>22</v>
      </c>
      <c r="F17" s="97" t="s">
        <v>1020</v>
      </c>
      <c r="G17" s="99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</row>
    <row r="18" ht="15.75" customHeight="1">
      <c r="A18" s="77">
        <f t="shared" si="1"/>
        <v>14</v>
      </c>
      <c r="B18" s="96" t="s">
        <v>1021</v>
      </c>
      <c r="C18" s="97" t="s">
        <v>1022</v>
      </c>
      <c r="D18" s="97" t="s">
        <v>1023</v>
      </c>
      <c r="E18" s="98" t="s">
        <v>22</v>
      </c>
      <c r="F18" s="97" t="s">
        <v>1024</v>
      </c>
      <c r="G18" s="99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</row>
    <row r="19" ht="15.75" customHeight="1">
      <c r="A19" s="77">
        <f t="shared" si="1"/>
        <v>15</v>
      </c>
      <c r="B19" s="100" t="s">
        <v>1026</v>
      </c>
      <c r="C19" s="101" t="s">
        <v>1027</v>
      </c>
      <c r="D19" s="97" t="s">
        <v>1028</v>
      </c>
      <c r="E19" s="98" t="s">
        <v>22</v>
      </c>
      <c r="F19" s="97" t="s">
        <v>1029</v>
      </c>
      <c r="G19" s="99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</row>
    <row r="20" ht="15.75" customHeight="1">
      <c r="A20" s="77">
        <f t="shared" si="1"/>
        <v>16</v>
      </c>
      <c r="B20" s="96" t="s">
        <v>1030</v>
      </c>
      <c r="C20" s="104" t="s">
        <v>1031</v>
      </c>
      <c r="D20" s="97" t="s">
        <v>1032</v>
      </c>
      <c r="E20" s="98" t="s">
        <v>30</v>
      </c>
      <c r="F20" s="97" t="s">
        <v>1034</v>
      </c>
      <c r="G20" s="99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</row>
    <row r="21" ht="15.75" customHeight="1">
      <c r="A21" s="77">
        <f t="shared" si="1"/>
        <v>17</v>
      </c>
      <c r="B21" s="100" t="s">
        <v>1035</v>
      </c>
      <c r="C21" s="101" t="s">
        <v>1036</v>
      </c>
      <c r="D21" s="97" t="s">
        <v>1037</v>
      </c>
      <c r="E21" s="98" t="s">
        <v>30</v>
      </c>
      <c r="F21" s="97" t="s">
        <v>1039</v>
      </c>
      <c r="G21" s="99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</row>
    <row r="22" ht="15.75" customHeight="1">
      <c r="A22" s="77">
        <f t="shared" si="1"/>
        <v>18</v>
      </c>
      <c r="B22" s="96" t="s">
        <v>1040</v>
      </c>
      <c r="C22" s="97" t="s">
        <v>1041</v>
      </c>
      <c r="D22" s="97" t="s">
        <v>1042</v>
      </c>
      <c r="E22" s="98" t="s">
        <v>22</v>
      </c>
      <c r="F22" s="97" t="s">
        <v>1043</v>
      </c>
      <c r="G22" s="99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</row>
    <row r="23" ht="15.75" customHeight="1">
      <c r="A23" s="77">
        <f t="shared" si="1"/>
        <v>19</v>
      </c>
      <c r="B23" s="100" t="s">
        <v>1044</v>
      </c>
      <c r="C23" s="102" t="s">
        <v>1045</v>
      </c>
      <c r="D23" s="97" t="s">
        <v>1046</v>
      </c>
      <c r="E23" s="98" t="s">
        <v>22</v>
      </c>
      <c r="F23" s="97" t="s">
        <v>1047</v>
      </c>
      <c r="G23" s="99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</row>
    <row r="24" ht="15.75" customHeight="1">
      <c r="A24" s="77">
        <f t="shared" si="1"/>
        <v>20</v>
      </c>
      <c r="B24" s="96" t="s">
        <v>1048</v>
      </c>
      <c r="C24" s="104" t="s">
        <v>1049</v>
      </c>
      <c r="D24" s="97" t="s">
        <v>1050</v>
      </c>
      <c r="E24" s="98" t="s">
        <v>22</v>
      </c>
      <c r="F24" s="97" t="s">
        <v>1051</v>
      </c>
      <c r="G24" s="99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</row>
    <row r="25" ht="15.75" customHeight="1">
      <c r="A25" s="77">
        <f t="shared" si="1"/>
        <v>21</v>
      </c>
      <c r="B25" s="100" t="s">
        <v>1052</v>
      </c>
      <c r="C25" s="101" t="s">
        <v>1053</v>
      </c>
      <c r="D25" s="97" t="s">
        <v>1054</v>
      </c>
      <c r="E25" s="98" t="s">
        <v>30</v>
      </c>
      <c r="F25" s="97" t="s">
        <v>1055</v>
      </c>
      <c r="G25" s="99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</row>
    <row r="26" ht="15.75" customHeight="1">
      <c r="A26" s="77">
        <f t="shared" si="1"/>
        <v>22</v>
      </c>
      <c r="B26" s="100" t="s">
        <v>1056</v>
      </c>
      <c r="C26" s="101" t="s">
        <v>1057</v>
      </c>
      <c r="D26" s="97" t="s">
        <v>1058</v>
      </c>
      <c r="E26" s="98" t="s">
        <v>22</v>
      </c>
      <c r="F26" s="97" t="s">
        <v>1059</v>
      </c>
      <c r="G26" s="99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</row>
    <row r="27" ht="15.75" customHeight="1">
      <c r="A27" s="77">
        <f t="shared" si="1"/>
        <v>23</v>
      </c>
      <c r="B27" s="100" t="s">
        <v>1061</v>
      </c>
      <c r="C27" s="102" t="s">
        <v>1062</v>
      </c>
      <c r="D27" s="97" t="s">
        <v>526</v>
      </c>
      <c r="E27" s="98" t="s">
        <v>30</v>
      </c>
      <c r="F27" s="97" t="s">
        <v>1063</v>
      </c>
      <c r="G27" s="99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</row>
    <row r="28" ht="15.75" customHeight="1">
      <c r="A28" s="77">
        <f t="shared" si="1"/>
        <v>24</v>
      </c>
      <c r="B28" s="100" t="s">
        <v>1064</v>
      </c>
      <c r="C28" s="102" t="s">
        <v>1065</v>
      </c>
      <c r="D28" s="97" t="s">
        <v>1066</v>
      </c>
      <c r="E28" s="98" t="s">
        <v>30</v>
      </c>
      <c r="F28" s="97" t="s">
        <v>1067</v>
      </c>
      <c r="G28" s="99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</row>
    <row r="29" ht="15.75" customHeight="1">
      <c r="A29" s="77">
        <f t="shared" si="1"/>
        <v>25</v>
      </c>
      <c r="B29" s="100" t="s">
        <v>1068</v>
      </c>
      <c r="C29" s="101" t="s">
        <v>1069</v>
      </c>
      <c r="D29" s="97" t="s">
        <v>1070</v>
      </c>
      <c r="E29" s="98" t="s">
        <v>30</v>
      </c>
      <c r="F29" s="97" t="s">
        <v>1071</v>
      </c>
      <c r="G29" s="99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</row>
    <row r="30" ht="15.75" customHeight="1">
      <c r="A30" s="77">
        <f t="shared" si="1"/>
        <v>26</v>
      </c>
      <c r="B30" s="96" t="s">
        <v>1072</v>
      </c>
      <c r="C30" s="97" t="s">
        <v>1073</v>
      </c>
      <c r="D30" s="97" t="s">
        <v>1074</v>
      </c>
      <c r="E30" s="98" t="s">
        <v>22</v>
      </c>
      <c r="F30" s="97" t="s">
        <v>1075</v>
      </c>
      <c r="G30" s="99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</row>
    <row r="31" ht="15.75" customHeight="1">
      <c r="A31" s="77">
        <f t="shared" si="1"/>
        <v>27</v>
      </c>
      <c r="B31" s="96" t="s">
        <v>1076</v>
      </c>
      <c r="C31" s="104" t="s">
        <v>1077</v>
      </c>
      <c r="D31" s="97" t="s">
        <v>1078</v>
      </c>
      <c r="E31" s="98" t="s">
        <v>30</v>
      </c>
      <c r="F31" s="97" t="s">
        <v>1079</v>
      </c>
      <c r="G31" s="99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</row>
    <row r="32" ht="15.75" customHeight="1">
      <c r="A32" s="77">
        <f t="shared" si="1"/>
        <v>28</v>
      </c>
      <c r="B32" s="100" t="s">
        <v>1080</v>
      </c>
      <c r="C32" s="102" t="s">
        <v>1081</v>
      </c>
      <c r="D32" s="97" t="s">
        <v>1082</v>
      </c>
      <c r="E32" s="98" t="s">
        <v>30</v>
      </c>
      <c r="F32" s="97" t="s">
        <v>1083</v>
      </c>
      <c r="G32" s="99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</row>
    <row r="33" ht="15.75" customHeight="1">
      <c r="A33" s="77">
        <f t="shared" si="1"/>
        <v>29</v>
      </c>
      <c r="B33" s="100" t="s">
        <v>1084</v>
      </c>
      <c r="C33" s="101" t="s">
        <v>1085</v>
      </c>
      <c r="D33" s="97" t="s">
        <v>1086</v>
      </c>
      <c r="E33" s="98" t="s">
        <v>22</v>
      </c>
      <c r="F33" s="97" t="s">
        <v>1087</v>
      </c>
      <c r="G33" s="99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</row>
    <row r="34" ht="15.75" customHeight="1">
      <c r="A34" s="77">
        <f t="shared" si="1"/>
        <v>30</v>
      </c>
      <c r="B34" s="100" t="s">
        <v>1088</v>
      </c>
      <c r="C34" s="102" t="s">
        <v>1089</v>
      </c>
      <c r="D34" s="97" t="s">
        <v>1090</v>
      </c>
      <c r="E34" s="98" t="s">
        <v>22</v>
      </c>
      <c r="F34" s="97" t="s">
        <v>1091</v>
      </c>
      <c r="G34" s="99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</row>
    <row r="35" ht="15.75" customHeight="1">
      <c r="A35" s="77">
        <v>31.0</v>
      </c>
      <c r="B35" s="96" t="s">
        <v>1092</v>
      </c>
      <c r="C35" s="97" t="s">
        <v>1093</v>
      </c>
      <c r="D35" s="97" t="s">
        <v>1094</v>
      </c>
      <c r="E35" s="98" t="s">
        <v>22</v>
      </c>
      <c r="F35" s="97" t="s">
        <v>1095</v>
      </c>
      <c r="G35" s="99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</row>
    <row r="36" ht="15.75" customHeight="1">
      <c r="A36" s="77">
        <v>32.0</v>
      </c>
      <c r="B36" s="96" t="s">
        <v>1096</v>
      </c>
      <c r="C36" s="97" t="s">
        <v>1097</v>
      </c>
      <c r="D36" s="97" t="s">
        <v>1098</v>
      </c>
      <c r="E36" s="98" t="s">
        <v>30</v>
      </c>
      <c r="F36" s="97" t="s">
        <v>1099</v>
      </c>
      <c r="G36" s="99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</row>
    <row r="37" ht="15.7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</row>
    <row r="38" ht="15.75" customHeight="1">
      <c r="A38" s="93"/>
      <c r="B38" s="93"/>
      <c r="C38" s="93" t="s">
        <v>22</v>
      </c>
      <c r="D38" s="93">
        <f>COUNTIF(E5:E37,"M")</f>
        <v>15</v>
      </c>
      <c r="E38" s="93" t="s">
        <v>30</v>
      </c>
      <c r="F38" s="93">
        <f>COUNTIF(E5:E37,"F")</f>
        <v>17</v>
      </c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</row>
    <row r="39" ht="15.75" customHeight="1">
      <c r="A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</row>
    <row r="40" ht="15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</row>
    <row r="41" ht="15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</row>
    <row r="42" ht="15.7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</row>
    <row r="43" ht="15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</row>
    <row r="44" ht="15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</row>
    <row r="55" ht="15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3.0"/>
    <col customWidth="1" min="3" max="3" width="23.0"/>
    <col customWidth="1" min="4" max="4" width="17.0"/>
    <col customWidth="1" min="5" max="26" width="11.13"/>
  </cols>
  <sheetData>
    <row r="1" ht="15.75" customHeight="1">
      <c r="A1" s="116" t="s">
        <v>1379</v>
      </c>
      <c r="B1" s="7"/>
      <c r="C1" s="7"/>
      <c r="D1" s="7"/>
      <c r="E1" s="7"/>
      <c r="F1" s="8"/>
    </row>
    <row r="2" ht="15.75" customHeight="1">
      <c r="A2" s="117" t="s">
        <v>1381</v>
      </c>
      <c r="B2" s="7"/>
      <c r="C2" s="7"/>
      <c r="D2" s="7"/>
      <c r="E2" s="7"/>
      <c r="F2" s="8"/>
    </row>
    <row r="3" ht="15.75" customHeight="1">
      <c r="A3" s="116" t="s">
        <v>1385</v>
      </c>
      <c r="B3" s="7"/>
      <c r="C3" s="7"/>
      <c r="D3" s="7"/>
      <c r="E3" s="7"/>
      <c r="F3" s="8"/>
    </row>
    <row r="4" ht="15.75" customHeight="1">
      <c r="A4" s="118" t="s">
        <v>3</v>
      </c>
      <c r="B4" s="118" t="s">
        <v>4</v>
      </c>
      <c r="C4" s="118" t="s">
        <v>5</v>
      </c>
      <c r="D4" s="118" t="s">
        <v>6</v>
      </c>
      <c r="E4" s="118" t="s">
        <v>7</v>
      </c>
      <c r="F4" s="118" t="s">
        <v>8</v>
      </c>
    </row>
    <row r="5" ht="15.75" customHeight="1">
      <c r="A5" s="119">
        <v>1.0</v>
      </c>
      <c r="B5" s="120" t="s">
        <v>1100</v>
      </c>
      <c r="C5" s="120" t="s">
        <v>1101</v>
      </c>
      <c r="D5" s="120" t="s">
        <v>1102</v>
      </c>
      <c r="E5" s="121" t="s">
        <v>30</v>
      </c>
      <c r="F5" s="122" t="s">
        <v>1103</v>
      </c>
    </row>
    <row r="6" ht="15.75" customHeight="1">
      <c r="A6" s="119">
        <v>2.0</v>
      </c>
      <c r="B6" s="123" t="s">
        <v>1104</v>
      </c>
      <c r="C6" s="123" t="s">
        <v>1105</v>
      </c>
      <c r="D6" s="123" t="s">
        <v>1106</v>
      </c>
      <c r="E6" s="124" t="s">
        <v>22</v>
      </c>
      <c r="F6" s="125" t="s">
        <v>1107</v>
      </c>
    </row>
    <row r="7" ht="15.75" customHeight="1">
      <c r="A7" s="119">
        <v>3.0</v>
      </c>
      <c r="B7" s="126" t="s">
        <v>1108</v>
      </c>
      <c r="C7" s="127" t="s">
        <v>1109</v>
      </c>
      <c r="D7" s="127" t="s">
        <v>1110</v>
      </c>
      <c r="E7" s="128" t="s">
        <v>22</v>
      </c>
      <c r="F7" s="127" t="s">
        <v>1111</v>
      </c>
    </row>
    <row r="8" ht="15.75" customHeight="1">
      <c r="A8" s="119">
        <v>4.0</v>
      </c>
      <c r="B8" s="123" t="s">
        <v>1112</v>
      </c>
      <c r="C8" s="125" t="s">
        <v>1113</v>
      </c>
      <c r="D8" s="123" t="s">
        <v>1114</v>
      </c>
      <c r="E8" s="124" t="s">
        <v>30</v>
      </c>
      <c r="F8" s="125" t="s">
        <v>1115</v>
      </c>
    </row>
    <row r="9" ht="15.75" customHeight="1">
      <c r="A9" s="119">
        <v>5.0</v>
      </c>
      <c r="B9" s="123" t="s">
        <v>1116</v>
      </c>
      <c r="C9" s="125" t="s">
        <v>1117</v>
      </c>
      <c r="D9" s="123" t="s">
        <v>1118</v>
      </c>
      <c r="E9" s="124" t="s">
        <v>30</v>
      </c>
      <c r="F9" s="125" t="s">
        <v>1119</v>
      </c>
    </row>
    <row r="10" ht="15.75" customHeight="1">
      <c r="A10" s="119">
        <v>6.0</v>
      </c>
      <c r="B10" s="123" t="s">
        <v>1120</v>
      </c>
      <c r="C10" s="125" t="s">
        <v>1121</v>
      </c>
      <c r="D10" s="123" t="s">
        <v>1122</v>
      </c>
      <c r="E10" s="124" t="s">
        <v>30</v>
      </c>
      <c r="F10" s="125" t="s">
        <v>1123</v>
      </c>
    </row>
    <row r="11" ht="15.75" customHeight="1">
      <c r="A11" s="119">
        <v>7.0</v>
      </c>
      <c r="B11" s="126" t="s">
        <v>1124</v>
      </c>
      <c r="C11" s="126" t="s">
        <v>1125</v>
      </c>
      <c r="D11" s="126" t="s">
        <v>1126</v>
      </c>
      <c r="E11" s="128" t="s">
        <v>22</v>
      </c>
      <c r="F11" s="126" t="s">
        <v>1127</v>
      </c>
    </row>
    <row r="12" ht="15.75" customHeight="1">
      <c r="A12" s="119">
        <v>8.0</v>
      </c>
      <c r="B12" s="123" t="s">
        <v>1128</v>
      </c>
      <c r="C12" s="125" t="s">
        <v>1129</v>
      </c>
      <c r="D12" s="123" t="s">
        <v>1130</v>
      </c>
      <c r="E12" s="124" t="s">
        <v>30</v>
      </c>
      <c r="F12" s="125" t="s">
        <v>1131</v>
      </c>
    </row>
    <row r="13" ht="15.75" customHeight="1">
      <c r="A13" s="119">
        <v>9.0</v>
      </c>
      <c r="B13" s="126" t="s">
        <v>1132</v>
      </c>
      <c r="C13" s="127" t="s">
        <v>1133</v>
      </c>
      <c r="D13" s="127" t="s">
        <v>1134</v>
      </c>
      <c r="E13" s="128" t="s">
        <v>30</v>
      </c>
      <c r="F13" s="127" t="s">
        <v>1135</v>
      </c>
    </row>
    <row r="14" ht="15.75" customHeight="1">
      <c r="A14" s="119">
        <v>10.0</v>
      </c>
      <c r="B14" s="123" t="s">
        <v>1136</v>
      </c>
      <c r="C14" s="125" t="s">
        <v>1137</v>
      </c>
      <c r="D14" s="123" t="s">
        <v>1138</v>
      </c>
      <c r="E14" s="124" t="s">
        <v>30</v>
      </c>
      <c r="F14" s="125" t="s">
        <v>1139</v>
      </c>
    </row>
    <row r="15" ht="15.75" customHeight="1">
      <c r="A15" s="119">
        <v>11.0</v>
      </c>
      <c r="B15" s="127" t="s">
        <v>1140</v>
      </c>
      <c r="C15" s="126" t="s">
        <v>1141</v>
      </c>
      <c r="D15" s="127" t="s">
        <v>1142</v>
      </c>
      <c r="E15" s="128" t="s">
        <v>22</v>
      </c>
      <c r="F15" s="126" t="s">
        <v>1143</v>
      </c>
    </row>
    <row r="16" ht="15.75" customHeight="1">
      <c r="A16" s="129">
        <v>12.0</v>
      </c>
      <c r="B16" s="127" t="s">
        <v>1144</v>
      </c>
      <c r="C16" s="127" t="s">
        <v>1145</v>
      </c>
      <c r="D16" s="127" t="s">
        <v>1146</v>
      </c>
      <c r="E16" s="128" t="s">
        <v>30</v>
      </c>
      <c r="F16" s="127" t="s">
        <v>1147</v>
      </c>
    </row>
    <row r="17" ht="15.75" customHeight="1">
      <c r="A17" s="129">
        <v>13.0</v>
      </c>
      <c r="B17" s="123" t="s">
        <v>1148</v>
      </c>
      <c r="C17" s="125" t="s">
        <v>1149</v>
      </c>
      <c r="D17" s="123" t="s">
        <v>1150</v>
      </c>
      <c r="E17" s="124" t="s">
        <v>30</v>
      </c>
      <c r="F17" s="125" t="s">
        <v>1151</v>
      </c>
    </row>
    <row r="18" ht="15.75" customHeight="1">
      <c r="A18" s="119">
        <v>14.0</v>
      </c>
      <c r="B18" s="123" t="s">
        <v>1152</v>
      </c>
      <c r="C18" s="125" t="s">
        <v>1153</v>
      </c>
      <c r="D18" s="123" t="s">
        <v>1154</v>
      </c>
      <c r="E18" s="124" t="s">
        <v>22</v>
      </c>
      <c r="F18" s="125" t="s">
        <v>1155</v>
      </c>
    </row>
    <row r="19" ht="15.75" customHeight="1">
      <c r="A19" s="119">
        <v>15.0</v>
      </c>
      <c r="B19" s="126" t="s">
        <v>1156</v>
      </c>
      <c r="C19" s="127" t="s">
        <v>1157</v>
      </c>
      <c r="D19" s="127" t="s">
        <v>1158</v>
      </c>
      <c r="E19" s="128" t="s">
        <v>22</v>
      </c>
      <c r="F19" s="127" t="s">
        <v>1159</v>
      </c>
    </row>
    <row r="20" ht="15.75" customHeight="1">
      <c r="A20" s="129">
        <v>16.0</v>
      </c>
      <c r="B20" s="123" t="s">
        <v>1160</v>
      </c>
      <c r="C20" s="125" t="s">
        <v>1161</v>
      </c>
      <c r="D20" s="123" t="s">
        <v>1162</v>
      </c>
      <c r="E20" s="124" t="s">
        <v>22</v>
      </c>
      <c r="F20" s="125" t="s">
        <v>1163</v>
      </c>
    </row>
    <row r="21" ht="15.75" customHeight="1">
      <c r="A21" s="129">
        <v>17.0</v>
      </c>
      <c r="B21" s="127" t="s">
        <v>1164</v>
      </c>
      <c r="C21" s="127" t="s">
        <v>1165</v>
      </c>
      <c r="D21" s="127" t="s">
        <v>1166</v>
      </c>
      <c r="E21" s="128" t="s">
        <v>30</v>
      </c>
      <c r="F21" s="127" t="s">
        <v>1167</v>
      </c>
    </row>
    <row r="22" ht="15.75" customHeight="1">
      <c r="A22" s="129">
        <v>18.0</v>
      </c>
      <c r="B22" s="126" t="s">
        <v>1168</v>
      </c>
      <c r="C22" s="127" t="s">
        <v>1169</v>
      </c>
      <c r="D22" s="127" t="s">
        <v>1170</v>
      </c>
      <c r="E22" s="128" t="s">
        <v>30</v>
      </c>
      <c r="F22" s="127" t="s">
        <v>1171</v>
      </c>
      <c r="H22" s="130"/>
      <c r="I22" s="131"/>
      <c r="J22" s="130"/>
      <c r="K22" s="132"/>
      <c r="L22" s="131"/>
    </row>
    <row r="23" ht="15.75" customHeight="1">
      <c r="A23" s="129">
        <v>19.0</v>
      </c>
      <c r="B23" s="123" t="s">
        <v>1172</v>
      </c>
      <c r="C23" s="125" t="s">
        <v>1173</v>
      </c>
      <c r="D23" s="123" t="s">
        <v>1174</v>
      </c>
      <c r="E23" s="124" t="s">
        <v>30</v>
      </c>
      <c r="F23" s="125" t="s">
        <v>1175</v>
      </c>
    </row>
    <row r="24" ht="15.75" customHeight="1">
      <c r="A24" s="129">
        <v>20.0</v>
      </c>
      <c r="B24" s="123" t="s">
        <v>1176</v>
      </c>
      <c r="C24" s="125" t="s">
        <v>1177</v>
      </c>
      <c r="D24" s="123" t="s">
        <v>1178</v>
      </c>
      <c r="E24" s="124" t="s">
        <v>30</v>
      </c>
      <c r="F24" s="125" t="s">
        <v>1179</v>
      </c>
    </row>
    <row r="25" ht="15.75" customHeight="1">
      <c r="A25" s="129">
        <v>21.0</v>
      </c>
      <c r="B25" s="123" t="s">
        <v>1180</v>
      </c>
      <c r="C25" s="125" t="s">
        <v>1181</v>
      </c>
      <c r="D25" s="123" t="s">
        <v>1182</v>
      </c>
      <c r="E25" s="124" t="s">
        <v>22</v>
      </c>
      <c r="F25" s="125" t="s">
        <v>1183</v>
      </c>
    </row>
    <row r="26" ht="15.75" customHeight="1">
      <c r="A26" s="129">
        <v>22.0</v>
      </c>
      <c r="B26" s="123" t="s">
        <v>1184</v>
      </c>
      <c r="C26" s="125" t="s">
        <v>1185</v>
      </c>
      <c r="D26" s="123" t="s">
        <v>1186</v>
      </c>
      <c r="E26" s="124" t="s">
        <v>22</v>
      </c>
      <c r="F26" s="125" t="s">
        <v>1187</v>
      </c>
    </row>
    <row r="27" ht="15.75" customHeight="1">
      <c r="A27" s="129">
        <v>23.0</v>
      </c>
      <c r="B27" s="126" t="s">
        <v>1188</v>
      </c>
      <c r="C27" s="127" t="s">
        <v>1189</v>
      </c>
      <c r="D27" s="127" t="s">
        <v>1190</v>
      </c>
      <c r="E27" s="128" t="s">
        <v>22</v>
      </c>
      <c r="F27" s="127" t="s">
        <v>1191</v>
      </c>
    </row>
    <row r="28" ht="15.75" customHeight="1">
      <c r="A28" s="129">
        <v>24.0</v>
      </c>
      <c r="B28" s="126" t="s">
        <v>1192</v>
      </c>
      <c r="C28" s="126" t="s">
        <v>1193</v>
      </c>
      <c r="D28" s="126" t="s">
        <v>1194</v>
      </c>
      <c r="E28" s="128" t="s">
        <v>30</v>
      </c>
      <c r="F28" s="126" t="s">
        <v>1195</v>
      </c>
    </row>
    <row r="29" ht="15.75" customHeight="1">
      <c r="A29" s="129">
        <v>25.0</v>
      </c>
      <c r="B29" s="123" t="s">
        <v>1196</v>
      </c>
      <c r="C29" s="125" t="s">
        <v>1197</v>
      </c>
      <c r="D29" s="123" t="s">
        <v>1198</v>
      </c>
      <c r="E29" s="124" t="s">
        <v>22</v>
      </c>
      <c r="F29" s="125" t="s">
        <v>1199</v>
      </c>
    </row>
    <row r="30" ht="15.75" customHeight="1">
      <c r="A30" s="129">
        <v>26.0</v>
      </c>
      <c r="B30" s="133" t="s">
        <v>1200</v>
      </c>
      <c r="C30" s="133" t="s">
        <v>1201</v>
      </c>
      <c r="D30" s="133" t="s">
        <v>1202</v>
      </c>
      <c r="E30" s="124" t="s">
        <v>22</v>
      </c>
      <c r="F30" s="133" t="s">
        <v>1203</v>
      </c>
    </row>
    <row r="31" ht="15.75" customHeight="1">
      <c r="A31" s="129">
        <v>27.0</v>
      </c>
      <c r="B31" s="126" t="s">
        <v>1204</v>
      </c>
      <c r="C31" s="127" t="s">
        <v>1205</v>
      </c>
      <c r="D31" s="127" t="s">
        <v>1442</v>
      </c>
      <c r="E31" s="128" t="s">
        <v>22</v>
      </c>
      <c r="F31" s="127" t="s">
        <v>1207</v>
      </c>
      <c r="H31" s="134"/>
      <c r="I31" s="134"/>
      <c r="J31" s="134"/>
      <c r="K31" s="134"/>
      <c r="L31" s="134"/>
    </row>
    <row r="32" ht="15.75" customHeight="1">
      <c r="A32" s="129">
        <v>28.0</v>
      </c>
      <c r="B32" s="133" t="s">
        <v>1208</v>
      </c>
      <c r="C32" s="123" t="s">
        <v>1209</v>
      </c>
      <c r="D32" s="133" t="s">
        <v>1210</v>
      </c>
      <c r="E32" s="124" t="s">
        <v>22</v>
      </c>
      <c r="F32" s="123" t="s">
        <v>1211</v>
      </c>
    </row>
    <row r="33" ht="15.75" customHeight="1">
      <c r="A33" s="129">
        <v>29.0</v>
      </c>
      <c r="B33" s="123" t="s">
        <v>1212</v>
      </c>
      <c r="C33" s="125" t="s">
        <v>1213</v>
      </c>
      <c r="D33" s="123" t="s">
        <v>1214</v>
      </c>
      <c r="E33" s="124" t="s">
        <v>30</v>
      </c>
      <c r="F33" s="125" t="s">
        <v>1215</v>
      </c>
      <c r="H33" s="135"/>
      <c r="I33" s="134"/>
      <c r="J33" s="136"/>
      <c r="K33" s="134"/>
      <c r="L33" s="137"/>
      <c r="M33" s="136"/>
    </row>
    <row r="34" ht="15.75" customHeight="1">
      <c r="A34" s="129">
        <v>30.0</v>
      </c>
      <c r="B34" s="123" t="s">
        <v>1216</v>
      </c>
      <c r="C34" s="125" t="s">
        <v>1217</v>
      </c>
      <c r="D34" s="123" t="s">
        <v>1218</v>
      </c>
      <c r="E34" s="124" t="s">
        <v>30</v>
      </c>
      <c r="F34" s="125" t="s">
        <v>1219</v>
      </c>
    </row>
    <row r="35" ht="15.75" customHeight="1">
      <c r="A35" s="129">
        <v>31.0</v>
      </c>
      <c r="B35" s="126" t="s">
        <v>1220</v>
      </c>
      <c r="C35" s="127" t="s">
        <v>1221</v>
      </c>
      <c r="D35" s="127" t="s">
        <v>1222</v>
      </c>
      <c r="E35" s="128" t="s">
        <v>22</v>
      </c>
      <c r="F35" s="127" t="s">
        <v>1223</v>
      </c>
    </row>
    <row r="36" ht="15.75" customHeight="1">
      <c r="A36" s="129">
        <v>32.0</v>
      </c>
      <c r="B36" s="123" t="s">
        <v>1224</v>
      </c>
      <c r="C36" s="123" t="s">
        <v>1225</v>
      </c>
      <c r="D36" s="123" t="s">
        <v>1226</v>
      </c>
      <c r="E36" s="124" t="s">
        <v>30</v>
      </c>
      <c r="F36" s="125" t="s">
        <v>1227</v>
      </c>
    </row>
    <row r="37" ht="15.75" customHeight="1">
      <c r="A37" s="129">
        <v>33.0</v>
      </c>
      <c r="B37" s="123" t="s">
        <v>1228</v>
      </c>
      <c r="C37" s="125" t="s">
        <v>1229</v>
      </c>
      <c r="D37" s="123" t="s">
        <v>1230</v>
      </c>
      <c r="E37" s="124" t="s">
        <v>30</v>
      </c>
      <c r="F37" s="125" t="s">
        <v>1231</v>
      </c>
    </row>
    <row r="38" ht="15.75" customHeight="1">
      <c r="A38" s="129">
        <v>34.0</v>
      </c>
      <c r="B38" s="123" t="s">
        <v>1232</v>
      </c>
      <c r="C38" s="125" t="s">
        <v>1233</v>
      </c>
      <c r="D38" s="123" t="s">
        <v>1234</v>
      </c>
      <c r="E38" s="124" t="s">
        <v>22</v>
      </c>
      <c r="F38" s="125" t="s">
        <v>1235</v>
      </c>
    </row>
    <row r="39" ht="15.75" customHeight="1">
      <c r="A39" s="129">
        <v>35.0</v>
      </c>
      <c r="B39" s="126" t="s">
        <v>1236</v>
      </c>
      <c r="C39" s="127" t="s">
        <v>1237</v>
      </c>
      <c r="D39" s="127" t="s">
        <v>1238</v>
      </c>
      <c r="E39" s="128" t="s">
        <v>30</v>
      </c>
      <c r="F39" s="127" t="s">
        <v>1239</v>
      </c>
    </row>
    <row r="40" ht="15.75" customHeight="1">
      <c r="A40" s="135"/>
      <c r="B40" s="130"/>
      <c r="C40" s="138" t="s">
        <v>22</v>
      </c>
      <c r="D40" s="138">
        <f>COUNTIF(E5:E39,"M")</f>
        <v>16</v>
      </c>
      <c r="E40" s="132" t="s">
        <v>30</v>
      </c>
      <c r="F40" s="131">
        <f>COUNTIF(E5:E39,"F")</f>
        <v>19</v>
      </c>
    </row>
    <row r="41" ht="15.75" customHeight="1"/>
    <row r="42" ht="15.75" customHeight="1">
      <c r="G42" s="139" t="s">
        <v>1467</v>
      </c>
    </row>
    <row r="43" ht="15.75" customHeight="1">
      <c r="A43" s="140" t="s">
        <v>1468</v>
      </c>
      <c r="B43" s="141">
        <v>26.0</v>
      </c>
      <c r="C43" s="142" t="s">
        <v>1228</v>
      </c>
      <c r="D43" s="143" t="s">
        <v>1229</v>
      </c>
      <c r="E43" s="142" t="s">
        <v>1230</v>
      </c>
      <c r="F43" s="143" t="s">
        <v>1231</v>
      </c>
      <c r="G43" s="140" t="b">
        <v>1</v>
      </c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1.13"/>
    <col customWidth="1" min="3" max="3" width="47.88"/>
    <col customWidth="1" min="4" max="4" width="25.5"/>
    <col customWidth="1" min="5" max="26" width="11.13"/>
  </cols>
  <sheetData>
    <row r="1" ht="15.75" customHeight="1">
      <c r="A1" s="116" t="s">
        <v>1548</v>
      </c>
      <c r="B1" s="7"/>
      <c r="C1" s="7"/>
      <c r="D1" s="7"/>
      <c r="E1" s="7"/>
      <c r="F1" s="8"/>
    </row>
    <row r="2" ht="15.75" customHeight="1">
      <c r="A2" s="117" t="s">
        <v>1549</v>
      </c>
      <c r="B2" s="7"/>
      <c r="C2" s="7"/>
      <c r="D2" s="7"/>
      <c r="E2" s="7"/>
      <c r="F2" s="8"/>
    </row>
    <row r="3" ht="15.75" customHeight="1">
      <c r="A3" s="116" t="s">
        <v>1553</v>
      </c>
      <c r="B3" s="7"/>
      <c r="C3" s="7"/>
      <c r="D3" s="7"/>
      <c r="E3" s="7"/>
      <c r="F3" s="8"/>
    </row>
    <row r="4" ht="15.75" customHeight="1">
      <c r="A4" s="118" t="s">
        <v>3</v>
      </c>
      <c r="B4" s="118" t="s">
        <v>4</v>
      </c>
      <c r="C4" s="118" t="s">
        <v>5</v>
      </c>
      <c r="D4" s="118" t="s">
        <v>6</v>
      </c>
      <c r="E4" s="118" t="s">
        <v>7</v>
      </c>
      <c r="F4" s="118" t="s">
        <v>8</v>
      </c>
    </row>
    <row r="5" ht="15.75" customHeight="1">
      <c r="A5" s="129">
        <v>1.0</v>
      </c>
      <c r="B5" s="144" t="s">
        <v>1240</v>
      </c>
      <c r="C5" s="133" t="s">
        <v>1241</v>
      </c>
      <c r="D5" s="133" t="s">
        <v>1558</v>
      </c>
      <c r="E5" s="145" t="s">
        <v>22</v>
      </c>
      <c r="F5" s="133" t="s">
        <v>1243</v>
      </c>
    </row>
    <row r="6" ht="15.75" customHeight="1">
      <c r="A6" s="129">
        <f t="shared" ref="A6:A39" si="1">A5+1</f>
        <v>2</v>
      </c>
      <c r="B6" s="146" t="s">
        <v>1244</v>
      </c>
      <c r="C6" s="147" t="s">
        <v>1245</v>
      </c>
      <c r="D6" s="148" t="s">
        <v>1246</v>
      </c>
      <c r="E6" s="145" t="s">
        <v>22</v>
      </c>
      <c r="F6" s="147" t="s">
        <v>1247</v>
      </c>
    </row>
    <row r="7" ht="15.75" customHeight="1">
      <c r="A7" s="129">
        <f t="shared" si="1"/>
        <v>3</v>
      </c>
      <c r="B7" s="149" t="s">
        <v>1248</v>
      </c>
      <c r="C7" s="127" t="s">
        <v>1249</v>
      </c>
      <c r="D7" s="127" t="s">
        <v>1250</v>
      </c>
      <c r="E7" s="150" t="s">
        <v>30</v>
      </c>
      <c r="F7" s="127" t="s">
        <v>1251</v>
      </c>
    </row>
    <row r="8" ht="15.75" customHeight="1">
      <c r="A8" s="129">
        <f t="shared" si="1"/>
        <v>4</v>
      </c>
      <c r="B8" s="146" t="s">
        <v>1252</v>
      </c>
      <c r="C8" s="147" t="s">
        <v>1253</v>
      </c>
      <c r="D8" s="148" t="s">
        <v>444</v>
      </c>
      <c r="E8" s="145" t="s">
        <v>22</v>
      </c>
      <c r="F8" s="147" t="s">
        <v>1254</v>
      </c>
    </row>
    <row r="9" ht="15.75" customHeight="1">
      <c r="A9" s="129">
        <f t="shared" si="1"/>
        <v>5</v>
      </c>
      <c r="B9" s="144" t="s">
        <v>1255</v>
      </c>
      <c r="C9" s="133" t="s">
        <v>1256</v>
      </c>
      <c r="D9" s="133" t="s">
        <v>1257</v>
      </c>
      <c r="E9" s="145" t="s">
        <v>30</v>
      </c>
      <c r="F9" s="133" t="s">
        <v>1258</v>
      </c>
    </row>
    <row r="10" ht="15.75" customHeight="1">
      <c r="A10" s="129">
        <f t="shared" si="1"/>
        <v>6</v>
      </c>
      <c r="B10" s="146" t="s">
        <v>1259</v>
      </c>
      <c r="C10" s="133" t="s">
        <v>1260</v>
      </c>
      <c r="D10" s="133" t="s">
        <v>1261</v>
      </c>
      <c r="E10" s="145" t="s">
        <v>30</v>
      </c>
      <c r="F10" s="133" t="s">
        <v>1262</v>
      </c>
    </row>
    <row r="11" ht="15.75" customHeight="1">
      <c r="A11" s="129">
        <f t="shared" si="1"/>
        <v>7</v>
      </c>
      <c r="B11" s="146" t="s">
        <v>1263</v>
      </c>
      <c r="C11" s="147" t="s">
        <v>1264</v>
      </c>
      <c r="D11" s="148" t="s">
        <v>1265</v>
      </c>
      <c r="E11" s="145" t="s">
        <v>22</v>
      </c>
      <c r="F11" s="147" t="s">
        <v>1266</v>
      </c>
    </row>
    <row r="12" ht="15.75" customHeight="1">
      <c r="A12" s="129">
        <f t="shared" si="1"/>
        <v>8</v>
      </c>
      <c r="B12" s="151" t="s">
        <v>1267</v>
      </c>
      <c r="C12" s="127" t="s">
        <v>1268</v>
      </c>
      <c r="D12" s="127" t="s">
        <v>1269</v>
      </c>
      <c r="E12" s="150" t="s">
        <v>30</v>
      </c>
      <c r="F12" s="127" t="s">
        <v>1270</v>
      </c>
    </row>
    <row r="13" ht="15.75" customHeight="1">
      <c r="A13" s="129">
        <f t="shared" si="1"/>
        <v>9</v>
      </c>
      <c r="B13" s="149" t="s">
        <v>1271</v>
      </c>
      <c r="C13" s="127" t="s">
        <v>1272</v>
      </c>
      <c r="D13" s="127" t="s">
        <v>1273</v>
      </c>
      <c r="E13" s="150" t="s">
        <v>30</v>
      </c>
      <c r="F13" s="127" t="s">
        <v>1274</v>
      </c>
    </row>
    <row r="14" ht="15.75" customHeight="1">
      <c r="A14" s="129">
        <f t="shared" si="1"/>
        <v>10</v>
      </c>
      <c r="B14" s="149" t="s">
        <v>1275</v>
      </c>
      <c r="C14" s="127" t="s">
        <v>1276</v>
      </c>
      <c r="D14" s="127" t="s">
        <v>1277</v>
      </c>
      <c r="E14" s="150" t="s">
        <v>30</v>
      </c>
      <c r="F14" s="127" t="s">
        <v>1278</v>
      </c>
    </row>
    <row r="15" ht="15.75" customHeight="1">
      <c r="A15" s="129">
        <f t="shared" si="1"/>
        <v>11</v>
      </c>
      <c r="B15" s="146" t="s">
        <v>1279</v>
      </c>
      <c r="C15" s="147" t="s">
        <v>1280</v>
      </c>
      <c r="D15" s="148" t="s">
        <v>1281</v>
      </c>
      <c r="E15" s="145" t="s">
        <v>22</v>
      </c>
      <c r="F15" s="147" t="s">
        <v>1282</v>
      </c>
    </row>
    <row r="16" ht="15.75" customHeight="1">
      <c r="A16" s="129">
        <f t="shared" si="1"/>
        <v>12</v>
      </c>
      <c r="B16" s="146" t="s">
        <v>1283</v>
      </c>
      <c r="C16" s="147" t="s">
        <v>1284</v>
      </c>
      <c r="D16" s="148" t="s">
        <v>1285</v>
      </c>
      <c r="E16" s="145" t="s">
        <v>30</v>
      </c>
      <c r="F16" s="147" t="s">
        <v>1286</v>
      </c>
    </row>
    <row r="17" ht="15.75" customHeight="1">
      <c r="A17" s="129">
        <f t="shared" si="1"/>
        <v>13</v>
      </c>
      <c r="B17" s="146" t="s">
        <v>1287</v>
      </c>
      <c r="C17" s="148" t="s">
        <v>1288</v>
      </c>
      <c r="D17" s="148" t="s">
        <v>1289</v>
      </c>
      <c r="E17" s="145" t="s">
        <v>30</v>
      </c>
      <c r="F17" s="148" t="s">
        <v>1290</v>
      </c>
    </row>
    <row r="18" ht="15.75" customHeight="1">
      <c r="A18" s="129">
        <f t="shared" si="1"/>
        <v>14</v>
      </c>
      <c r="B18" s="146" t="s">
        <v>1291</v>
      </c>
      <c r="C18" s="147" t="s">
        <v>1292</v>
      </c>
      <c r="D18" s="148" t="s">
        <v>1293</v>
      </c>
      <c r="E18" s="145" t="s">
        <v>22</v>
      </c>
      <c r="F18" s="147" t="s">
        <v>1294</v>
      </c>
    </row>
    <row r="19" ht="15.75" customHeight="1">
      <c r="A19" s="129">
        <f t="shared" si="1"/>
        <v>15</v>
      </c>
      <c r="B19" s="146" t="s">
        <v>1295</v>
      </c>
      <c r="C19" s="148" t="s">
        <v>1296</v>
      </c>
      <c r="D19" s="148" t="s">
        <v>1297</v>
      </c>
      <c r="E19" s="148" t="s">
        <v>22</v>
      </c>
      <c r="F19" s="148" t="s">
        <v>1298</v>
      </c>
    </row>
    <row r="20" ht="15.75" customHeight="1">
      <c r="A20" s="129">
        <f t="shared" si="1"/>
        <v>16</v>
      </c>
      <c r="B20" s="146" t="s">
        <v>1299</v>
      </c>
      <c r="C20" s="147" t="s">
        <v>1300</v>
      </c>
      <c r="D20" s="148" t="s">
        <v>1301</v>
      </c>
      <c r="E20" s="145" t="s">
        <v>22</v>
      </c>
      <c r="F20" s="147" t="s">
        <v>1302</v>
      </c>
    </row>
    <row r="21" ht="15.75" customHeight="1">
      <c r="A21" s="129">
        <f t="shared" si="1"/>
        <v>17</v>
      </c>
      <c r="B21" s="146" t="s">
        <v>1303</v>
      </c>
      <c r="C21" s="147" t="s">
        <v>1304</v>
      </c>
      <c r="D21" s="148" t="s">
        <v>1305</v>
      </c>
      <c r="E21" s="145" t="s">
        <v>30</v>
      </c>
      <c r="F21" s="147" t="s">
        <v>1306</v>
      </c>
    </row>
    <row r="22" ht="15.75" customHeight="1">
      <c r="A22" s="129">
        <f t="shared" si="1"/>
        <v>18</v>
      </c>
      <c r="B22" s="146" t="s">
        <v>1307</v>
      </c>
      <c r="C22" s="147" t="s">
        <v>1308</v>
      </c>
      <c r="D22" s="148" t="s">
        <v>1309</v>
      </c>
      <c r="E22" s="145" t="s">
        <v>30</v>
      </c>
      <c r="F22" s="147" t="s">
        <v>1310</v>
      </c>
      <c r="G22" s="130"/>
      <c r="H22" s="131"/>
      <c r="I22" s="130"/>
      <c r="J22" s="132"/>
      <c r="K22" s="131"/>
    </row>
    <row r="23" ht="15.75" customHeight="1">
      <c r="A23" s="129">
        <f t="shared" si="1"/>
        <v>19</v>
      </c>
      <c r="B23" s="146" t="s">
        <v>1311</v>
      </c>
      <c r="C23" s="148" t="s">
        <v>1312</v>
      </c>
      <c r="D23" s="148" t="s">
        <v>1313</v>
      </c>
      <c r="E23" s="145" t="s">
        <v>30</v>
      </c>
      <c r="F23" s="148" t="s">
        <v>1314</v>
      </c>
    </row>
    <row r="24" ht="15.75" customHeight="1">
      <c r="A24" s="129">
        <f t="shared" si="1"/>
        <v>20</v>
      </c>
      <c r="B24" s="149" t="s">
        <v>1315</v>
      </c>
      <c r="C24" s="127" t="s">
        <v>1316</v>
      </c>
      <c r="D24" s="127" t="s">
        <v>1317</v>
      </c>
      <c r="E24" s="150" t="s">
        <v>22</v>
      </c>
      <c r="F24" s="127" t="s">
        <v>1318</v>
      </c>
    </row>
    <row r="25" ht="15.75" customHeight="1">
      <c r="A25" s="129">
        <f t="shared" si="1"/>
        <v>21</v>
      </c>
      <c r="B25" s="149" t="s">
        <v>1319</v>
      </c>
      <c r="C25" s="127" t="s">
        <v>1320</v>
      </c>
      <c r="D25" s="127" t="s">
        <v>1321</v>
      </c>
      <c r="E25" s="150" t="s">
        <v>22</v>
      </c>
      <c r="F25" s="127" t="s">
        <v>1322</v>
      </c>
    </row>
    <row r="26" ht="15.75" customHeight="1">
      <c r="A26" s="129">
        <f t="shared" si="1"/>
        <v>22</v>
      </c>
      <c r="B26" s="146" t="s">
        <v>1323</v>
      </c>
      <c r="C26" s="147" t="s">
        <v>1324</v>
      </c>
      <c r="D26" s="148" t="s">
        <v>1325</v>
      </c>
      <c r="E26" s="145" t="s">
        <v>22</v>
      </c>
      <c r="F26" s="147" t="s">
        <v>1326</v>
      </c>
    </row>
    <row r="27" ht="15.75" customHeight="1">
      <c r="A27" s="129">
        <f t="shared" si="1"/>
        <v>23</v>
      </c>
      <c r="B27" s="146" t="s">
        <v>1327</v>
      </c>
      <c r="C27" s="147" t="s">
        <v>1328</v>
      </c>
      <c r="D27" s="148" t="s">
        <v>1329</v>
      </c>
      <c r="E27" s="145" t="s">
        <v>30</v>
      </c>
      <c r="F27" s="147" t="s">
        <v>1330</v>
      </c>
    </row>
    <row r="28" ht="15.75" customHeight="1">
      <c r="A28" s="129">
        <f t="shared" si="1"/>
        <v>24</v>
      </c>
      <c r="B28" s="149" t="s">
        <v>1331</v>
      </c>
      <c r="C28" s="127" t="s">
        <v>1332</v>
      </c>
      <c r="D28" s="127" t="s">
        <v>1333</v>
      </c>
      <c r="E28" s="150" t="s">
        <v>30</v>
      </c>
      <c r="F28" s="127" t="s">
        <v>1334</v>
      </c>
    </row>
    <row r="29" ht="15.75" customHeight="1">
      <c r="A29" s="129">
        <f t="shared" si="1"/>
        <v>25</v>
      </c>
      <c r="B29" s="146" t="s">
        <v>1335</v>
      </c>
      <c r="C29" s="147" t="s">
        <v>1336</v>
      </c>
      <c r="D29" s="148" t="s">
        <v>1337</v>
      </c>
      <c r="E29" s="145" t="s">
        <v>22</v>
      </c>
      <c r="F29" s="147" t="s">
        <v>1338</v>
      </c>
    </row>
    <row r="30" ht="15.75" customHeight="1">
      <c r="A30" s="129">
        <f t="shared" si="1"/>
        <v>26</v>
      </c>
      <c r="B30" s="146" t="s">
        <v>1339</v>
      </c>
      <c r="C30" s="147" t="s">
        <v>1340</v>
      </c>
      <c r="D30" s="148" t="s">
        <v>1341</v>
      </c>
      <c r="E30" s="145" t="s">
        <v>30</v>
      </c>
      <c r="F30" s="147" t="s">
        <v>1342</v>
      </c>
    </row>
    <row r="31" ht="15.75" customHeight="1">
      <c r="A31" s="129">
        <f t="shared" si="1"/>
        <v>27</v>
      </c>
      <c r="B31" s="149" t="s">
        <v>1343</v>
      </c>
      <c r="C31" s="127" t="s">
        <v>1344</v>
      </c>
      <c r="D31" s="127" t="s">
        <v>1345</v>
      </c>
      <c r="E31" s="150" t="s">
        <v>30</v>
      </c>
      <c r="F31" s="127" t="s">
        <v>1346</v>
      </c>
      <c r="G31" s="134"/>
      <c r="H31" s="134"/>
      <c r="I31" s="134"/>
      <c r="J31" s="134"/>
      <c r="K31" s="134"/>
    </row>
    <row r="32" ht="15.75" customHeight="1">
      <c r="A32" s="129">
        <f t="shared" si="1"/>
        <v>28</v>
      </c>
      <c r="B32" s="146" t="s">
        <v>1347</v>
      </c>
      <c r="C32" s="148" t="s">
        <v>1348</v>
      </c>
      <c r="D32" s="148" t="s">
        <v>1349</v>
      </c>
      <c r="E32" s="145" t="s">
        <v>30</v>
      </c>
      <c r="F32" s="148" t="s">
        <v>1350</v>
      </c>
    </row>
    <row r="33" ht="15.75" customHeight="1">
      <c r="A33" s="129">
        <f t="shared" si="1"/>
        <v>29</v>
      </c>
      <c r="B33" s="149" t="s">
        <v>1351</v>
      </c>
      <c r="C33" s="127" t="s">
        <v>1352</v>
      </c>
      <c r="D33" s="152" t="s">
        <v>1353</v>
      </c>
      <c r="E33" s="150" t="s">
        <v>22</v>
      </c>
      <c r="F33" s="127" t="s">
        <v>1354</v>
      </c>
      <c r="G33" s="135"/>
      <c r="H33" s="134"/>
      <c r="I33" s="136"/>
      <c r="J33" s="134"/>
      <c r="K33" s="137"/>
      <c r="L33" s="136"/>
    </row>
    <row r="34" ht="15.75" customHeight="1">
      <c r="A34" s="129">
        <f t="shared" si="1"/>
        <v>30</v>
      </c>
      <c r="B34" s="149" t="s">
        <v>1355</v>
      </c>
      <c r="C34" s="127" t="s">
        <v>1356</v>
      </c>
      <c r="D34" s="127" t="s">
        <v>1357</v>
      </c>
      <c r="E34" s="150" t="s">
        <v>22</v>
      </c>
      <c r="F34" s="127" t="s">
        <v>1358</v>
      </c>
    </row>
    <row r="35" ht="15.75" customHeight="1">
      <c r="A35" s="129">
        <f t="shared" si="1"/>
        <v>31</v>
      </c>
      <c r="B35" s="146" t="s">
        <v>1359</v>
      </c>
      <c r="C35" s="147" t="s">
        <v>1360</v>
      </c>
      <c r="D35" s="148" t="s">
        <v>1361</v>
      </c>
      <c r="E35" s="145" t="s">
        <v>22</v>
      </c>
      <c r="F35" s="147" t="s">
        <v>1362</v>
      </c>
    </row>
    <row r="36" ht="15.75" customHeight="1">
      <c r="A36" s="129">
        <f t="shared" si="1"/>
        <v>32</v>
      </c>
      <c r="B36" s="149" t="s">
        <v>1363</v>
      </c>
      <c r="C36" s="127" t="s">
        <v>1364</v>
      </c>
      <c r="D36" s="127" t="s">
        <v>1365</v>
      </c>
      <c r="E36" s="150" t="s">
        <v>22</v>
      </c>
      <c r="F36" s="127" t="s">
        <v>1366</v>
      </c>
    </row>
    <row r="37" ht="15.75" customHeight="1">
      <c r="A37" s="129">
        <f t="shared" si="1"/>
        <v>33</v>
      </c>
      <c r="B37" s="146" t="s">
        <v>1367</v>
      </c>
      <c r="C37" s="148" t="s">
        <v>1368</v>
      </c>
      <c r="D37" s="148" t="s">
        <v>1369</v>
      </c>
      <c r="E37" s="145" t="s">
        <v>30</v>
      </c>
      <c r="F37" s="148" t="s">
        <v>1370</v>
      </c>
    </row>
    <row r="38" ht="15.75" customHeight="1">
      <c r="A38" s="129">
        <f t="shared" si="1"/>
        <v>34</v>
      </c>
      <c r="B38" s="149" t="s">
        <v>1371</v>
      </c>
      <c r="C38" s="127" t="s">
        <v>1372</v>
      </c>
      <c r="D38" s="127" t="s">
        <v>1373</v>
      </c>
      <c r="E38" s="150" t="s">
        <v>22</v>
      </c>
      <c r="F38" s="127" t="s">
        <v>1374</v>
      </c>
    </row>
    <row r="39" ht="15.75" customHeight="1">
      <c r="A39" s="129">
        <f t="shared" si="1"/>
        <v>35</v>
      </c>
      <c r="B39" s="153" t="s">
        <v>1375</v>
      </c>
      <c r="C39" s="148" t="s">
        <v>1376</v>
      </c>
      <c r="D39" s="148" t="s">
        <v>1377</v>
      </c>
      <c r="E39" s="145" t="s">
        <v>30</v>
      </c>
      <c r="F39" s="147" t="s">
        <v>1378</v>
      </c>
    </row>
    <row r="40" ht="15.75" customHeight="1">
      <c r="A40" s="135"/>
      <c r="B40" s="134"/>
      <c r="C40" s="138" t="s">
        <v>22</v>
      </c>
      <c r="D40" s="138">
        <f>COUNTIF(E5:E39,"M")</f>
        <v>17</v>
      </c>
      <c r="E40" s="132" t="s">
        <v>30</v>
      </c>
      <c r="F40" s="131">
        <f>COUNTIF(E5:E39,"F")</f>
        <v>18</v>
      </c>
    </row>
    <row r="41" ht="15.75" customHeight="1"/>
    <row r="42" ht="15.75" customHeight="1">
      <c r="A42" s="139" t="s">
        <v>1634</v>
      </c>
      <c r="B42" s="139" t="s">
        <v>1635</v>
      </c>
    </row>
    <row r="43" ht="15.75" customHeight="1">
      <c r="A43" s="140" t="b">
        <v>1</v>
      </c>
      <c r="B43" s="140" t="b">
        <v>1</v>
      </c>
      <c r="C43" s="154" t="s">
        <v>1636</v>
      </c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3.0"/>
    <col customWidth="1" min="3" max="3" width="21.38"/>
    <col customWidth="1" min="4" max="4" width="14.13"/>
    <col customWidth="1" min="5" max="5" width="8.25"/>
    <col customWidth="1" min="6" max="6" width="12.0"/>
    <col customWidth="1" min="7" max="26" width="11.13"/>
  </cols>
  <sheetData>
    <row r="1" ht="15.75" customHeight="1">
      <c r="A1" s="116" t="s">
        <v>1645</v>
      </c>
      <c r="B1" s="7"/>
      <c r="C1" s="7"/>
      <c r="D1" s="7"/>
      <c r="E1" s="7"/>
      <c r="F1" s="8"/>
    </row>
    <row r="2" ht="15.75" customHeight="1">
      <c r="A2" s="155" t="s">
        <v>1646</v>
      </c>
      <c r="B2" s="7"/>
      <c r="C2" s="7"/>
      <c r="D2" s="7"/>
      <c r="E2" s="7"/>
      <c r="F2" s="8"/>
    </row>
    <row r="3" ht="15.75" customHeight="1">
      <c r="A3" s="116" t="s">
        <v>1647</v>
      </c>
      <c r="B3" s="7"/>
      <c r="C3" s="7"/>
      <c r="D3" s="7"/>
      <c r="E3" s="7"/>
      <c r="F3" s="8"/>
    </row>
    <row r="4" ht="15.75" customHeight="1">
      <c r="A4" s="118" t="s">
        <v>3</v>
      </c>
      <c r="B4" s="118" t="s">
        <v>4</v>
      </c>
      <c r="C4" s="118" t="s">
        <v>5</v>
      </c>
      <c r="D4" s="118" t="s">
        <v>6</v>
      </c>
      <c r="E4" s="118" t="s">
        <v>7</v>
      </c>
      <c r="F4" s="118" t="s">
        <v>8</v>
      </c>
    </row>
    <row r="5" ht="15.75" customHeight="1">
      <c r="A5" s="119">
        <v>1.0</v>
      </c>
      <c r="B5" s="156" t="s">
        <v>1380</v>
      </c>
      <c r="C5" s="156" t="s">
        <v>1382</v>
      </c>
      <c r="D5" s="156" t="s">
        <v>1383</v>
      </c>
      <c r="E5" s="156" t="s">
        <v>22</v>
      </c>
      <c r="F5" s="156" t="s">
        <v>1384</v>
      </c>
    </row>
    <row r="6" ht="15.75" customHeight="1">
      <c r="A6" s="119">
        <v>2.0</v>
      </c>
      <c r="B6" s="156" t="s">
        <v>1386</v>
      </c>
      <c r="C6" s="156" t="s">
        <v>1387</v>
      </c>
      <c r="D6" s="156" t="s">
        <v>1388</v>
      </c>
      <c r="E6" s="156" t="s">
        <v>22</v>
      </c>
      <c r="F6" s="156" t="s">
        <v>1389</v>
      </c>
    </row>
    <row r="7" ht="15.75" customHeight="1">
      <c r="A7" s="119">
        <v>3.0</v>
      </c>
      <c r="B7" s="156" t="s">
        <v>1390</v>
      </c>
      <c r="C7" s="156" t="s">
        <v>1391</v>
      </c>
      <c r="D7" s="156" t="s">
        <v>1392</v>
      </c>
      <c r="E7" s="156" t="s">
        <v>30</v>
      </c>
      <c r="F7" s="156" t="s">
        <v>1393</v>
      </c>
    </row>
    <row r="8" ht="15.75" customHeight="1">
      <c r="A8" s="119">
        <v>4.0</v>
      </c>
      <c r="B8" s="156" t="s">
        <v>1394</v>
      </c>
      <c r="C8" s="156" t="s">
        <v>1395</v>
      </c>
      <c r="D8" s="156" t="s">
        <v>1396</v>
      </c>
      <c r="E8" s="156" t="s">
        <v>30</v>
      </c>
      <c r="F8" s="156" t="s">
        <v>1397</v>
      </c>
    </row>
    <row r="9" ht="15.75" customHeight="1">
      <c r="A9" s="119">
        <v>5.0</v>
      </c>
      <c r="B9" s="156" t="s">
        <v>1398</v>
      </c>
      <c r="C9" s="156" t="s">
        <v>1399</v>
      </c>
      <c r="D9" s="156" t="s">
        <v>1400</v>
      </c>
      <c r="E9" s="156" t="s">
        <v>30</v>
      </c>
      <c r="F9" s="156" t="s">
        <v>1401</v>
      </c>
    </row>
    <row r="10" ht="15.75" customHeight="1">
      <c r="A10" s="119">
        <v>6.0</v>
      </c>
      <c r="B10" s="157" t="s">
        <v>1402</v>
      </c>
      <c r="C10" s="156" t="s">
        <v>1403</v>
      </c>
      <c r="D10" s="157" t="s">
        <v>1404</v>
      </c>
      <c r="E10" s="156" t="s">
        <v>22</v>
      </c>
      <c r="F10" s="156" t="s">
        <v>1405</v>
      </c>
    </row>
    <row r="11" ht="15.75" customHeight="1">
      <c r="A11" s="119">
        <v>7.0</v>
      </c>
      <c r="B11" s="156" t="s">
        <v>1406</v>
      </c>
      <c r="C11" s="156" t="s">
        <v>1407</v>
      </c>
      <c r="D11" s="156" t="s">
        <v>1408</v>
      </c>
      <c r="E11" s="156" t="s">
        <v>22</v>
      </c>
      <c r="F11" s="156" t="s">
        <v>1409</v>
      </c>
    </row>
    <row r="12" ht="15.75" customHeight="1">
      <c r="A12" s="119">
        <v>8.0</v>
      </c>
      <c r="B12" s="156" t="s">
        <v>1410</v>
      </c>
      <c r="C12" s="156" t="s">
        <v>1411</v>
      </c>
      <c r="D12" s="156" t="s">
        <v>1412</v>
      </c>
      <c r="E12" s="156" t="s">
        <v>22</v>
      </c>
      <c r="F12" s="156" t="s">
        <v>1413</v>
      </c>
    </row>
    <row r="13" ht="15.75" customHeight="1">
      <c r="A13" s="119">
        <v>9.0</v>
      </c>
      <c r="B13" s="157" t="s">
        <v>1414</v>
      </c>
      <c r="C13" s="156" t="s">
        <v>1415</v>
      </c>
      <c r="D13" s="157" t="s">
        <v>1416</v>
      </c>
      <c r="E13" s="156" t="s">
        <v>22</v>
      </c>
      <c r="F13" s="156" t="s">
        <v>1417</v>
      </c>
    </row>
    <row r="14" ht="15.75" customHeight="1">
      <c r="A14" s="119">
        <v>10.0</v>
      </c>
      <c r="B14" s="157" t="s">
        <v>1418</v>
      </c>
      <c r="C14" s="156" t="s">
        <v>1419</v>
      </c>
      <c r="D14" s="157" t="s">
        <v>1420</v>
      </c>
      <c r="E14" s="156" t="s">
        <v>30</v>
      </c>
      <c r="F14" s="156" t="s">
        <v>1421</v>
      </c>
    </row>
    <row r="15" ht="15.75" customHeight="1">
      <c r="A15" s="119">
        <v>11.0</v>
      </c>
      <c r="B15" s="157" t="s">
        <v>1422</v>
      </c>
      <c r="C15" s="156" t="s">
        <v>1423</v>
      </c>
      <c r="D15" s="158" t="s">
        <v>1424</v>
      </c>
      <c r="E15" s="156" t="s">
        <v>30</v>
      </c>
      <c r="F15" s="156" t="s">
        <v>1425</v>
      </c>
    </row>
    <row r="16" ht="15.75" customHeight="1">
      <c r="A16" s="129">
        <v>12.0</v>
      </c>
      <c r="B16" s="157" t="s">
        <v>1426</v>
      </c>
      <c r="C16" s="156" t="s">
        <v>1427</v>
      </c>
      <c r="D16" s="157" t="s">
        <v>1428</v>
      </c>
      <c r="E16" s="156" t="s">
        <v>22</v>
      </c>
      <c r="F16" s="156" t="s">
        <v>1429</v>
      </c>
    </row>
    <row r="17" ht="15.75" customHeight="1">
      <c r="A17" s="129">
        <v>13.0</v>
      </c>
      <c r="B17" s="157" t="s">
        <v>1430</v>
      </c>
      <c r="C17" s="156" t="s">
        <v>1431</v>
      </c>
      <c r="D17" s="157" t="s">
        <v>1432</v>
      </c>
      <c r="E17" s="156" t="s">
        <v>30</v>
      </c>
      <c r="F17" s="156" t="s">
        <v>1433</v>
      </c>
    </row>
    <row r="18" ht="15.75" customHeight="1">
      <c r="A18" s="119">
        <v>14.0</v>
      </c>
      <c r="B18" s="157" t="s">
        <v>1434</v>
      </c>
      <c r="C18" s="156" t="s">
        <v>1435</v>
      </c>
      <c r="D18" s="157" t="s">
        <v>1436</v>
      </c>
      <c r="E18" s="156" t="s">
        <v>30</v>
      </c>
      <c r="F18" s="156" t="s">
        <v>1437</v>
      </c>
    </row>
    <row r="19" ht="15.75" customHeight="1">
      <c r="A19" s="119">
        <v>15.0</v>
      </c>
      <c r="B19" s="157" t="s">
        <v>1438</v>
      </c>
      <c r="C19" s="156" t="s">
        <v>1439</v>
      </c>
      <c r="D19" s="157" t="s">
        <v>1440</v>
      </c>
      <c r="E19" s="156" t="s">
        <v>22</v>
      </c>
      <c r="F19" s="156" t="s">
        <v>1441</v>
      </c>
    </row>
    <row r="20" ht="15.75" customHeight="1">
      <c r="A20" s="129">
        <v>16.0</v>
      </c>
      <c r="B20" s="157" t="s">
        <v>1443</v>
      </c>
      <c r="C20" s="156" t="s">
        <v>1444</v>
      </c>
      <c r="D20" s="157" t="s">
        <v>1445</v>
      </c>
      <c r="E20" s="156" t="s">
        <v>30</v>
      </c>
      <c r="F20" s="156" t="s">
        <v>1446</v>
      </c>
    </row>
    <row r="21" ht="15.75" customHeight="1">
      <c r="A21" s="129">
        <v>17.0</v>
      </c>
      <c r="B21" s="157" t="s">
        <v>1447</v>
      </c>
      <c r="C21" s="156" t="s">
        <v>1448</v>
      </c>
      <c r="D21" s="157" t="s">
        <v>1449</v>
      </c>
      <c r="E21" s="156" t="s">
        <v>30</v>
      </c>
      <c r="F21" s="156" t="s">
        <v>1450</v>
      </c>
    </row>
    <row r="22" ht="15.75" customHeight="1">
      <c r="A22" s="129">
        <v>18.0</v>
      </c>
      <c r="B22" s="157" t="s">
        <v>1451</v>
      </c>
      <c r="C22" s="156" t="s">
        <v>1452</v>
      </c>
      <c r="D22" s="157" t="s">
        <v>1453</v>
      </c>
      <c r="E22" s="156" t="s">
        <v>30</v>
      </c>
      <c r="F22" s="156" t="s">
        <v>1454</v>
      </c>
    </row>
    <row r="23" ht="15.75" customHeight="1">
      <c r="A23" s="129">
        <v>19.0</v>
      </c>
      <c r="B23" s="157" t="s">
        <v>1455</v>
      </c>
      <c r="C23" s="156" t="s">
        <v>1456</v>
      </c>
      <c r="D23" s="157" t="s">
        <v>1457</v>
      </c>
      <c r="E23" s="156" t="s">
        <v>22</v>
      </c>
      <c r="F23" s="156" t="s">
        <v>1458</v>
      </c>
    </row>
    <row r="24" ht="15.75" customHeight="1">
      <c r="A24" s="129">
        <v>20.0</v>
      </c>
      <c r="B24" s="157" t="s">
        <v>1459</v>
      </c>
      <c r="C24" s="156" t="s">
        <v>1460</v>
      </c>
      <c r="D24" s="157" t="s">
        <v>1461</v>
      </c>
      <c r="E24" s="156" t="s">
        <v>30</v>
      </c>
      <c r="F24" s="156" t="s">
        <v>1462</v>
      </c>
    </row>
    <row r="25" ht="15.75" customHeight="1">
      <c r="A25" s="129">
        <v>21.0</v>
      </c>
      <c r="B25" s="157" t="s">
        <v>1463</v>
      </c>
      <c r="C25" s="156" t="s">
        <v>1464</v>
      </c>
      <c r="D25" s="157" t="s">
        <v>1465</v>
      </c>
      <c r="E25" s="156" t="s">
        <v>22</v>
      </c>
      <c r="F25" s="156" t="s">
        <v>1466</v>
      </c>
    </row>
    <row r="26" ht="15.75" customHeight="1">
      <c r="A26" s="129">
        <v>22.0</v>
      </c>
      <c r="B26" s="157" t="s">
        <v>1469</v>
      </c>
      <c r="C26" s="156" t="s">
        <v>1470</v>
      </c>
      <c r="D26" s="157" t="s">
        <v>1471</v>
      </c>
      <c r="E26" s="156" t="s">
        <v>30</v>
      </c>
      <c r="F26" s="156" t="s">
        <v>1472</v>
      </c>
    </row>
    <row r="27" ht="15.75" customHeight="1">
      <c r="A27" s="129">
        <v>23.0</v>
      </c>
      <c r="B27" s="157" t="s">
        <v>1473</v>
      </c>
      <c r="C27" s="156" t="s">
        <v>1474</v>
      </c>
      <c r="D27" s="157" t="s">
        <v>1475</v>
      </c>
      <c r="E27" s="156" t="s">
        <v>30</v>
      </c>
      <c r="F27" s="156" t="s">
        <v>1476</v>
      </c>
    </row>
    <row r="28" ht="15.75" customHeight="1">
      <c r="A28" s="129">
        <v>24.0</v>
      </c>
      <c r="B28" s="157" t="s">
        <v>1477</v>
      </c>
      <c r="C28" s="156" t="s">
        <v>1478</v>
      </c>
      <c r="D28" s="157" t="s">
        <v>1479</v>
      </c>
      <c r="E28" s="156" t="s">
        <v>22</v>
      </c>
      <c r="F28" s="156" t="s">
        <v>1480</v>
      </c>
    </row>
    <row r="29" ht="15.75" customHeight="1">
      <c r="A29" s="129">
        <v>25.0</v>
      </c>
      <c r="B29" s="157" t="s">
        <v>1481</v>
      </c>
      <c r="C29" s="159" t="s">
        <v>1482</v>
      </c>
      <c r="D29" s="160" t="s">
        <v>1483</v>
      </c>
      <c r="E29" s="156" t="s">
        <v>30</v>
      </c>
      <c r="F29" s="159" t="s">
        <v>1484</v>
      </c>
    </row>
    <row r="30" ht="15.75" customHeight="1">
      <c r="A30" s="129">
        <v>26.0</v>
      </c>
      <c r="B30" s="157" t="s">
        <v>1485</v>
      </c>
      <c r="C30" s="156" t="s">
        <v>1486</v>
      </c>
      <c r="D30" s="157" t="s">
        <v>1487</v>
      </c>
      <c r="E30" s="156" t="s">
        <v>22</v>
      </c>
      <c r="F30" s="156" t="s">
        <v>1488</v>
      </c>
    </row>
    <row r="31" ht="15.75" customHeight="1">
      <c r="A31" s="129">
        <v>27.0</v>
      </c>
      <c r="B31" s="157" t="s">
        <v>1489</v>
      </c>
      <c r="C31" s="156" t="s">
        <v>1490</v>
      </c>
      <c r="D31" s="157" t="s">
        <v>1491</v>
      </c>
      <c r="E31" s="159" t="s">
        <v>30</v>
      </c>
      <c r="F31" s="156" t="s">
        <v>1492</v>
      </c>
    </row>
    <row r="32" ht="15.75" customHeight="1">
      <c r="A32" s="129">
        <v>28.0</v>
      </c>
      <c r="B32" s="157" t="s">
        <v>1493</v>
      </c>
      <c r="C32" s="159" t="s">
        <v>1494</v>
      </c>
      <c r="D32" s="160" t="s">
        <v>1495</v>
      </c>
      <c r="E32" s="159" t="s">
        <v>30</v>
      </c>
      <c r="F32" s="159" t="s">
        <v>1496</v>
      </c>
    </row>
    <row r="33" ht="15.75" customHeight="1">
      <c r="A33" s="129">
        <v>29.0</v>
      </c>
      <c r="B33" s="157" t="s">
        <v>1497</v>
      </c>
      <c r="C33" s="156" t="s">
        <v>1498</v>
      </c>
      <c r="D33" s="157" t="s">
        <v>1499</v>
      </c>
      <c r="E33" s="156" t="s">
        <v>30</v>
      </c>
      <c r="F33" s="156" t="s">
        <v>1500</v>
      </c>
    </row>
    <row r="34" ht="15.75" customHeight="1">
      <c r="A34" s="129">
        <v>30.0</v>
      </c>
      <c r="B34" s="157" t="s">
        <v>1501</v>
      </c>
      <c r="C34" s="156" t="s">
        <v>1502</v>
      </c>
      <c r="D34" s="157" t="s">
        <v>1503</v>
      </c>
      <c r="E34" s="156" t="s">
        <v>30</v>
      </c>
      <c r="F34" s="156" t="s">
        <v>1504</v>
      </c>
    </row>
    <row r="35" ht="15.75" customHeight="1">
      <c r="A35" s="129">
        <v>31.0</v>
      </c>
      <c r="B35" s="157" t="s">
        <v>1505</v>
      </c>
      <c r="C35" s="156" t="s">
        <v>1506</v>
      </c>
      <c r="D35" s="157" t="s">
        <v>1507</v>
      </c>
      <c r="E35" s="156" t="s">
        <v>22</v>
      </c>
      <c r="F35" s="156" t="s">
        <v>1508</v>
      </c>
    </row>
    <row r="36" ht="15.75" customHeight="1">
      <c r="A36" s="129">
        <v>32.0</v>
      </c>
      <c r="B36" s="157" t="s">
        <v>1509</v>
      </c>
      <c r="C36" s="156" t="s">
        <v>1510</v>
      </c>
      <c r="D36" s="157" t="s">
        <v>1511</v>
      </c>
      <c r="E36" s="156" t="s">
        <v>30</v>
      </c>
      <c r="F36" s="156" t="s">
        <v>1512</v>
      </c>
    </row>
    <row r="37" ht="15.75" customHeight="1">
      <c r="B37" s="161"/>
      <c r="C37" s="161"/>
      <c r="D37" s="161"/>
      <c r="E37" s="161"/>
      <c r="F37" s="161"/>
    </row>
    <row r="38" ht="15.75" customHeight="1">
      <c r="C38" s="139" t="s">
        <v>22</v>
      </c>
      <c r="D38" s="139">
        <f>COUNTIF(E5:E36,"M")</f>
        <v>13</v>
      </c>
      <c r="E38" s="139" t="s">
        <v>30</v>
      </c>
      <c r="F38" s="139">
        <f>COUNTIF(E5:E36,"F")</f>
        <v>19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3.0"/>
    <col customWidth="1" min="3" max="3" width="16.63"/>
    <col customWidth="1" min="4" max="4" width="13.0"/>
    <col customWidth="1" min="5" max="5" width="7.38"/>
    <col customWidth="1" min="6" max="26" width="11.13"/>
  </cols>
  <sheetData>
    <row r="1" ht="15.75" customHeight="1">
      <c r="A1" s="116" t="s">
        <v>1648</v>
      </c>
      <c r="B1" s="7"/>
      <c r="C1" s="7"/>
      <c r="D1" s="7"/>
      <c r="E1" s="7"/>
      <c r="F1" s="8"/>
    </row>
    <row r="2" ht="15.75" customHeight="1">
      <c r="A2" s="155" t="s">
        <v>1649</v>
      </c>
      <c r="B2" s="7"/>
      <c r="C2" s="7"/>
      <c r="D2" s="7"/>
      <c r="E2" s="7"/>
      <c r="F2" s="8"/>
    </row>
    <row r="3" ht="15.75" customHeight="1">
      <c r="A3" s="116" t="s">
        <v>1650</v>
      </c>
      <c r="B3" s="7"/>
      <c r="C3" s="7"/>
      <c r="D3" s="7"/>
      <c r="E3" s="7"/>
      <c r="F3" s="8"/>
    </row>
    <row r="4" ht="15.75" customHeight="1">
      <c r="A4" s="118" t="s">
        <v>3</v>
      </c>
      <c r="B4" s="118" t="s">
        <v>4</v>
      </c>
      <c r="C4" s="118" t="s">
        <v>5</v>
      </c>
      <c r="D4" s="118" t="s">
        <v>6</v>
      </c>
      <c r="E4" s="118" t="s">
        <v>7</v>
      </c>
      <c r="F4" s="118" t="s">
        <v>8</v>
      </c>
    </row>
    <row r="5" ht="15.75" customHeight="1">
      <c r="A5" s="129">
        <v>1.0</v>
      </c>
      <c r="B5" s="156" t="s">
        <v>1513</v>
      </c>
      <c r="C5" s="156" t="s">
        <v>1514</v>
      </c>
      <c r="D5" s="156" t="s">
        <v>1515</v>
      </c>
      <c r="E5" s="156" t="s">
        <v>30</v>
      </c>
      <c r="F5" s="156" t="s">
        <v>1516</v>
      </c>
    </row>
    <row r="6" ht="15.75" customHeight="1">
      <c r="A6" s="129">
        <f t="shared" ref="A6:A36" si="1">A5+1</f>
        <v>2</v>
      </c>
      <c r="B6" s="156" t="s">
        <v>1517</v>
      </c>
      <c r="C6" s="156" t="s">
        <v>1518</v>
      </c>
      <c r="D6" s="156" t="s">
        <v>1519</v>
      </c>
      <c r="E6" s="156" t="s">
        <v>30</v>
      </c>
      <c r="F6" s="156" t="s">
        <v>1520</v>
      </c>
    </row>
    <row r="7" ht="15.75" customHeight="1">
      <c r="A7" s="129">
        <f t="shared" si="1"/>
        <v>3</v>
      </c>
      <c r="B7" s="156" t="s">
        <v>1521</v>
      </c>
      <c r="C7" s="156" t="s">
        <v>1522</v>
      </c>
      <c r="D7" s="156" t="s">
        <v>1523</v>
      </c>
      <c r="E7" s="156" t="s">
        <v>30</v>
      </c>
      <c r="F7" s="156" t="s">
        <v>1524</v>
      </c>
    </row>
    <row r="8" ht="15.75" customHeight="1">
      <c r="A8" s="129">
        <f t="shared" si="1"/>
        <v>4</v>
      </c>
      <c r="B8" s="156" t="s">
        <v>1525</v>
      </c>
      <c r="C8" s="156" t="s">
        <v>1117</v>
      </c>
      <c r="D8" s="156" t="s">
        <v>1526</v>
      </c>
      <c r="E8" s="156" t="s">
        <v>30</v>
      </c>
      <c r="F8" s="156" t="s">
        <v>1527</v>
      </c>
    </row>
    <row r="9" ht="15.75" customHeight="1">
      <c r="A9" s="129">
        <f t="shared" si="1"/>
        <v>5</v>
      </c>
      <c r="B9" s="156" t="s">
        <v>1528</v>
      </c>
      <c r="C9" s="156" t="s">
        <v>1529</v>
      </c>
      <c r="D9" s="156" t="s">
        <v>1530</v>
      </c>
      <c r="E9" s="156" t="s">
        <v>22</v>
      </c>
      <c r="F9" s="156" t="s">
        <v>1531</v>
      </c>
    </row>
    <row r="10" ht="15.75" customHeight="1">
      <c r="A10" s="129">
        <f t="shared" si="1"/>
        <v>6</v>
      </c>
      <c r="B10" s="156" t="s">
        <v>1532</v>
      </c>
      <c r="C10" s="156" t="s">
        <v>1533</v>
      </c>
      <c r="D10" s="156" t="s">
        <v>1534</v>
      </c>
      <c r="E10" s="156" t="s">
        <v>30</v>
      </c>
      <c r="F10" s="156" t="s">
        <v>1535</v>
      </c>
    </row>
    <row r="11" ht="15.75" customHeight="1">
      <c r="A11" s="129">
        <f t="shared" si="1"/>
        <v>7</v>
      </c>
      <c r="B11" s="156" t="s">
        <v>1536</v>
      </c>
      <c r="C11" s="156" t="s">
        <v>1537</v>
      </c>
      <c r="D11" s="156" t="s">
        <v>1538</v>
      </c>
      <c r="E11" s="156" t="s">
        <v>22</v>
      </c>
      <c r="F11" s="156" t="s">
        <v>1539</v>
      </c>
    </row>
    <row r="12" ht="15.75" customHeight="1">
      <c r="A12" s="129">
        <f t="shared" si="1"/>
        <v>8</v>
      </c>
      <c r="B12" s="156" t="s">
        <v>1540</v>
      </c>
      <c r="C12" s="156" t="s">
        <v>1541</v>
      </c>
      <c r="D12" s="156" t="s">
        <v>1542</v>
      </c>
      <c r="E12" s="156" t="s">
        <v>30</v>
      </c>
      <c r="F12" s="156" t="s">
        <v>1543</v>
      </c>
    </row>
    <row r="13" ht="15.75" customHeight="1">
      <c r="A13" s="129">
        <f t="shared" si="1"/>
        <v>9</v>
      </c>
      <c r="B13" s="157" t="s">
        <v>1544</v>
      </c>
      <c r="C13" s="156" t="s">
        <v>1545</v>
      </c>
      <c r="D13" s="157" t="s">
        <v>1546</v>
      </c>
      <c r="E13" s="156" t="s">
        <v>30</v>
      </c>
      <c r="F13" s="156" t="s">
        <v>1547</v>
      </c>
    </row>
    <row r="14" ht="15.75" customHeight="1">
      <c r="A14" s="129">
        <f t="shared" si="1"/>
        <v>10</v>
      </c>
      <c r="B14" s="156" t="s">
        <v>1550</v>
      </c>
      <c r="C14" s="156" t="s">
        <v>1551</v>
      </c>
      <c r="D14" s="156" t="s">
        <v>1552</v>
      </c>
      <c r="E14" s="156" t="s">
        <v>30</v>
      </c>
      <c r="F14" s="156" t="s">
        <v>1554</v>
      </c>
    </row>
    <row r="15" ht="15.75" customHeight="1">
      <c r="A15" s="129">
        <f t="shared" si="1"/>
        <v>11</v>
      </c>
      <c r="B15" s="156" t="s">
        <v>1555</v>
      </c>
      <c r="C15" s="156" t="s">
        <v>883</v>
      </c>
      <c r="D15" s="156" t="s">
        <v>1556</v>
      </c>
      <c r="E15" s="156" t="s">
        <v>30</v>
      </c>
      <c r="F15" s="156" t="s">
        <v>1557</v>
      </c>
    </row>
    <row r="16" ht="15.75" customHeight="1">
      <c r="A16" s="129">
        <f t="shared" si="1"/>
        <v>12</v>
      </c>
      <c r="B16" s="156" t="s">
        <v>1559</v>
      </c>
      <c r="C16" s="156" t="s">
        <v>1560</v>
      </c>
      <c r="D16" s="156" t="s">
        <v>1561</v>
      </c>
      <c r="E16" s="156" t="s">
        <v>22</v>
      </c>
      <c r="F16" s="156" t="s">
        <v>1562</v>
      </c>
    </row>
    <row r="17" ht="15.75" customHeight="1">
      <c r="A17" s="129">
        <f t="shared" si="1"/>
        <v>13</v>
      </c>
      <c r="B17" s="157" t="s">
        <v>1563</v>
      </c>
      <c r="C17" s="156" t="s">
        <v>1564</v>
      </c>
      <c r="D17" s="157" t="s">
        <v>1565</v>
      </c>
      <c r="E17" s="156" t="s">
        <v>22</v>
      </c>
      <c r="F17" s="156" t="s">
        <v>1566</v>
      </c>
    </row>
    <row r="18" ht="15.75" customHeight="1">
      <c r="A18" s="129">
        <f t="shared" si="1"/>
        <v>14</v>
      </c>
      <c r="B18" s="157" t="s">
        <v>1567</v>
      </c>
      <c r="C18" s="156" t="s">
        <v>1568</v>
      </c>
      <c r="D18" s="157" t="s">
        <v>1569</v>
      </c>
      <c r="E18" s="156" t="s">
        <v>22</v>
      </c>
      <c r="F18" s="156" t="s">
        <v>1570</v>
      </c>
    </row>
    <row r="19" ht="15.75" customHeight="1">
      <c r="A19" s="129">
        <f t="shared" si="1"/>
        <v>15</v>
      </c>
      <c r="B19" s="157" t="s">
        <v>1571</v>
      </c>
      <c r="C19" s="156" t="s">
        <v>1572</v>
      </c>
      <c r="D19" s="157" t="s">
        <v>1573</v>
      </c>
      <c r="E19" s="156" t="s">
        <v>30</v>
      </c>
      <c r="F19" s="156" t="s">
        <v>1574</v>
      </c>
    </row>
    <row r="20" ht="15.75" customHeight="1">
      <c r="A20" s="129">
        <f t="shared" si="1"/>
        <v>16</v>
      </c>
      <c r="B20" s="157" t="s">
        <v>1575</v>
      </c>
      <c r="C20" s="156" t="s">
        <v>1576</v>
      </c>
      <c r="D20" s="157" t="s">
        <v>1577</v>
      </c>
      <c r="E20" s="156" t="s">
        <v>22</v>
      </c>
      <c r="F20" s="156" t="s">
        <v>1578</v>
      </c>
    </row>
    <row r="21" ht="15.75" customHeight="1">
      <c r="A21" s="129">
        <f t="shared" si="1"/>
        <v>17</v>
      </c>
      <c r="B21" s="157" t="s">
        <v>1579</v>
      </c>
      <c r="C21" s="156" t="s">
        <v>1580</v>
      </c>
      <c r="D21" s="157" t="s">
        <v>1581</v>
      </c>
      <c r="E21" s="156" t="s">
        <v>22</v>
      </c>
      <c r="F21" s="156" t="s">
        <v>1582</v>
      </c>
    </row>
    <row r="22" ht="15.75" customHeight="1">
      <c r="A22" s="129">
        <f t="shared" si="1"/>
        <v>18</v>
      </c>
      <c r="B22" s="157" t="s">
        <v>1583</v>
      </c>
      <c r="C22" s="156" t="s">
        <v>1584</v>
      </c>
      <c r="D22" s="157" t="s">
        <v>1585</v>
      </c>
      <c r="E22" s="156" t="s">
        <v>22</v>
      </c>
      <c r="F22" s="156" t="s">
        <v>1586</v>
      </c>
    </row>
    <row r="23" ht="15.75" customHeight="1">
      <c r="A23" s="129">
        <f t="shared" si="1"/>
        <v>19</v>
      </c>
      <c r="B23" s="157" t="s">
        <v>1587</v>
      </c>
      <c r="C23" s="156" t="s">
        <v>1588</v>
      </c>
      <c r="D23" s="157" t="s">
        <v>1589</v>
      </c>
      <c r="E23" s="156" t="s">
        <v>30</v>
      </c>
      <c r="F23" s="156" t="s">
        <v>1590</v>
      </c>
    </row>
    <row r="24" ht="15.75" customHeight="1">
      <c r="A24" s="129">
        <f t="shared" si="1"/>
        <v>20</v>
      </c>
      <c r="B24" s="157" t="s">
        <v>1591</v>
      </c>
      <c r="C24" s="156" t="s">
        <v>1592</v>
      </c>
      <c r="D24" s="157" t="s">
        <v>1593</v>
      </c>
      <c r="E24" s="156" t="s">
        <v>30</v>
      </c>
      <c r="F24" s="156" t="s">
        <v>1594</v>
      </c>
    </row>
    <row r="25" ht="15.75" customHeight="1">
      <c r="A25" s="129">
        <f t="shared" si="1"/>
        <v>21</v>
      </c>
      <c r="B25" s="157" t="s">
        <v>1595</v>
      </c>
      <c r="C25" s="156" t="s">
        <v>1596</v>
      </c>
      <c r="D25" s="157" t="s">
        <v>1597</v>
      </c>
      <c r="E25" s="156" t="s">
        <v>22</v>
      </c>
      <c r="F25" s="156" t="s">
        <v>1598</v>
      </c>
    </row>
    <row r="26" ht="15.75" customHeight="1">
      <c r="A26" s="129">
        <f t="shared" si="1"/>
        <v>22</v>
      </c>
      <c r="B26" s="157" t="s">
        <v>1599</v>
      </c>
      <c r="C26" s="156" t="s">
        <v>1600</v>
      </c>
      <c r="D26" s="157" t="s">
        <v>1601</v>
      </c>
      <c r="E26" s="156" t="s">
        <v>30</v>
      </c>
      <c r="F26" s="156" t="s">
        <v>1602</v>
      </c>
    </row>
    <row r="27" ht="15.75" customHeight="1">
      <c r="A27" s="129">
        <f t="shared" si="1"/>
        <v>23</v>
      </c>
      <c r="B27" s="157" t="s">
        <v>1603</v>
      </c>
      <c r="C27" s="156" t="s">
        <v>168</v>
      </c>
      <c r="D27" s="157" t="s">
        <v>1604</v>
      </c>
      <c r="E27" s="156" t="s">
        <v>30</v>
      </c>
      <c r="F27" s="156" t="s">
        <v>1605</v>
      </c>
    </row>
    <row r="28" ht="15.75" customHeight="1">
      <c r="A28" s="129">
        <f t="shared" si="1"/>
        <v>24</v>
      </c>
      <c r="B28" s="157" t="s">
        <v>1606</v>
      </c>
      <c r="C28" s="156" t="s">
        <v>1607</v>
      </c>
      <c r="D28" s="157" t="s">
        <v>1608</v>
      </c>
      <c r="E28" s="156" t="s">
        <v>30</v>
      </c>
      <c r="F28" s="156" t="s">
        <v>1609</v>
      </c>
    </row>
    <row r="29" ht="15.75" customHeight="1">
      <c r="A29" s="129">
        <f t="shared" si="1"/>
        <v>25</v>
      </c>
      <c r="B29" s="157" t="s">
        <v>1610</v>
      </c>
      <c r="C29" s="156" t="s">
        <v>1611</v>
      </c>
      <c r="D29" s="157" t="s">
        <v>1612</v>
      </c>
      <c r="E29" s="156" t="s">
        <v>22</v>
      </c>
      <c r="F29" s="156" t="s">
        <v>1613</v>
      </c>
    </row>
    <row r="30" ht="15.75" customHeight="1">
      <c r="A30" s="129">
        <f t="shared" si="1"/>
        <v>26</v>
      </c>
      <c r="B30" s="157" t="s">
        <v>1614</v>
      </c>
      <c r="C30" s="156" t="s">
        <v>1615</v>
      </c>
      <c r="D30" s="157" t="s">
        <v>1616</v>
      </c>
      <c r="E30" s="156" t="s">
        <v>22</v>
      </c>
      <c r="F30" s="156" t="s">
        <v>1617</v>
      </c>
    </row>
    <row r="31" ht="15.75" customHeight="1">
      <c r="A31" s="129">
        <f t="shared" si="1"/>
        <v>27</v>
      </c>
      <c r="B31" s="157" t="s">
        <v>1618</v>
      </c>
      <c r="C31" s="156" t="s">
        <v>1619</v>
      </c>
      <c r="D31" s="157" t="s">
        <v>1620</v>
      </c>
      <c r="E31" s="156" t="s">
        <v>30</v>
      </c>
      <c r="F31" s="156" t="s">
        <v>1621</v>
      </c>
    </row>
    <row r="32" ht="15.75" customHeight="1">
      <c r="A32" s="129">
        <f t="shared" si="1"/>
        <v>28</v>
      </c>
      <c r="B32" s="157" t="s">
        <v>1622</v>
      </c>
      <c r="C32" s="156" t="s">
        <v>1623</v>
      </c>
      <c r="D32" s="157" t="s">
        <v>1624</v>
      </c>
      <c r="E32" s="156" t="s">
        <v>22</v>
      </c>
      <c r="F32" s="156" t="s">
        <v>1625</v>
      </c>
    </row>
    <row r="33" ht="15.75" customHeight="1">
      <c r="A33" s="129">
        <f t="shared" si="1"/>
        <v>29</v>
      </c>
      <c r="B33" s="157" t="s">
        <v>1626</v>
      </c>
      <c r="C33" s="156" t="s">
        <v>1627</v>
      </c>
      <c r="D33" s="157" t="s">
        <v>1628</v>
      </c>
      <c r="E33" s="156" t="s">
        <v>30</v>
      </c>
      <c r="F33" s="156" t="s">
        <v>1629</v>
      </c>
    </row>
    <row r="34" ht="15.75" customHeight="1">
      <c r="A34" s="129">
        <f t="shared" si="1"/>
        <v>30</v>
      </c>
      <c r="B34" s="157" t="s">
        <v>1630</v>
      </c>
      <c r="C34" s="159" t="s">
        <v>1631</v>
      </c>
      <c r="D34" s="162" t="s">
        <v>1632</v>
      </c>
      <c r="E34" s="159" t="s">
        <v>30</v>
      </c>
      <c r="F34" s="159" t="s">
        <v>1633</v>
      </c>
    </row>
    <row r="35" ht="15.75" customHeight="1">
      <c r="A35" s="129">
        <f t="shared" si="1"/>
        <v>31</v>
      </c>
      <c r="B35" s="157" t="s">
        <v>1637</v>
      </c>
      <c r="C35" s="156" t="s">
        <v>1638</v>
      </c>
      <c r="D35" s="157" t="s">
        <v>1639</v>
      </c>
      <c r="E35" s="156" t="s">
        <v>22</v>
      </c>
      <c r="F35" s="156" t="s">
        <v>1640</v>
      </c>
    </row>
    <row r="36" ht="15.75" customHeight="1">
      <c r="A36" s="129">
        <f t="shared" si="1"/>
        <v>32</v>
      </c>
      <c r="B36" s="157" t="s">
        <v>1641</v>
      </c>
      <c r="C36" s="157" t="s">
        <v>1642</v>
      </c>
      <c r="D36" s="157" t="s">
        <v>1643</v>
      </c>
      <c r="E36" s="157" t="s">
        <v>22</v>
      </c>
      <c r="F36" s="157" t="s">
        <v>1644</v>
      </c>
    </row>
    <row r="37" ht="15.75" customHeight="1"/>
    <row r="38" ht="15.75" customHeight="1">
      <c r="C38" s="139" t="s">
        <v>22</v>
      </c>
      <c r="D38" s="139">
        <f>COUNTIF(E5:E36,"M")</f>
        <v>14</v>
      </c>
      <c r="E38" s="139" t="s">
        <v>30</v>
      </c>
      <c r="F38" s="139">
        <f>COUNTIF(E5:E35,"F")</f>
        <v>18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